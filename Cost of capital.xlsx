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myresources.deloitte.com/personal/vserban_deloittece_com/Documents/Desktop/socep-main/"/>
    </mc:Choice>
  </mc:AlternateContent>
  <xr:revisionPtr revIDLastSave="4" documentId="11_F25DC773A252ABDACC10483E895F539A5BDE58F4" xr6:coauthVersionLast="47" xr6:coauthVersionMax="47" xr10:uidLastSave="{D86A436A-771F-4DC8-B9E2-2571E3EE081C}"/>
  <bookViews>
    <workbookView xWindow="-120" yWindow="-120" windowWidth="29040" windowHeight="15720" activeTab="1" xr2:uid="{00000000-000D-0000-FFFF-FFFF00000000}"/>
  </bookViews>
  <sheets>
    <sheet name="Sheet1" sheetId="1" r:id="rId1"/>
    <sheet name="Beta calculation" sheetId="2" r:id="rId2"/>
    <sheet name="ERPs by country" sheetId="3" r:id="rId3"/>
    <sheet name="Cost of equity" sheetId="4" r:id="rId4"/>
  </sheets>
  <externalReferences>
    <externalReference r:id="rId5"/>
  </externalReferences>
  <definedNames>
    <definedName name="_xlnm._FilterDatabase" localSheetId="1" hidden="1">'Beta calculation'!$M$1:$N$262</definedName>
    <definedName name="HTML_CodePage" hidden="1">1252</definedName>
    <definedName name="HTML_Control" localSheetId="3" hidden="1">{"'Sheet1'!$A$1:$H$145"}</definedName>
    <definedName name="HTML_Control" localSheetId="2" hidden="1">{"'Sheet1'!$A$1:$H$145"}</definedName>
    <definedName name="HTML_Control" hidden="1">{"'Sheet1'!$A$1:$H$145"}</definedName>
    <definedName name="HTML_Description" hidden="1">""</definedName>
    <definedName name="HTML_Email" hidden="1">""</definedName>
    <definedName name="HTML_Header" hidden="1">"Country Risk Premiums"</definedName>
    <definedName name="HTML_LastUpdate" hidden="1">"2/19/99"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HD:HomePageStuff:New_Home_Page:datafile:ctryprem.html"</definedName>
    <definedName name="HTML_Title" hidden="1">"Country Risk Premiums"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3" i="4"/>
  <c r="B6" i="4"/>
  <c r="E5" i="3"/>
  <c r="A8" i="3"/>
  <c r="B8" i="3" s="1"/>
  <c r="C8" i="3"/>
  <c r="G8" i="3"/>
  <c r="I8" i="3" s="1"/>
  <c r="H8" i="3" s="1"/>
  <c r="A9" i="3"/>
  <c r="C9" i="3" s="1"/>
  <c r="B9" i="3"/>
  <c r="G9" i="3"/>
  <c r="I9" i="3" s="1"/>
  <c r="H9" i="3" s="1"/>
  <c r="A10" i="3"/>
  <c r="G10" i="3" s="1"/>
  <c r="I10" i="3" s="1"/>
  <c r="H10" i="3" s="1"/>
  <c r="C10" i="3"/>
  <c r="A11" i="3"/>
  <c r="B11" i="3"/>
  <c r="A12" i="3"/>
  <c r="B12" i="3" s="1"/>
  <c r="G12" i="3"/>
  <c r="I12" i="3" s="1"/>
  <c r="H12" i="3" s="1"/>
  <c r="A13" i="3"/>
  <c r="C13" i="3" s="1"/>
  <c r="B13" i="3"/>
  <c r="G13" i="3"/>
  <c r="I13" i="3" s="1"/>
  <c r="H13" i="3" s="1"/>
  <c r="A14" i="3"/>
  <c r="G14" i="3" s="1"/>
  <c r="I14" i="3" s="1"/>
  <c r="H14" i="3" s="1"/>
  <c r="C14" i="3"/>
  <c r="A15" i="3"/>
  <c r="B15" i="3"/>
  <c r="A16" i="3"/>
  <c r="B16" i="3" s="1"/>
  <c r="G16" i="3"/>
  <c r="I16" i="3" s="1"/>
  <c r="H16" i="3" s="1"/>
  <c r="A17" i="3"/>
  <c r="B17" i="3"/>
  <c r="C17" i="3"/>
  <c r="G17" i="3"/>
  <c r="I17" i="3" s="1"/>
  <c r="H17" i="3" s="1"/>
  <c r="A18" i="3"/>
  <c r="G18" i="3" s="1"/>
  <c r="I18" i="3" s="1"/>
  <c r="C18" i="3"/>
  <c r="H18" i="3"/>
  <c r="A19" i="3"/>
  <c r="G19" i="3" s="1"/>
  <c r="B19" i="3"/>
  <c r="C19" i="3"/>
  <c r="I19" i="3"/>
  <c r="H19" i="3" s="1"/>
  <c r="A20" i="3"/>
  <c r="A21" i="3"/>
  <c r="B21" i="3"/>
  <c r="C21" i="3"/>
  <c r="G21" i="3"/>
  <c r="I21" i="3" s="1"/>
  <c r="H21" i="3" s="1"/>
  <c r="A22" i="3"/>
  <c r="G22" i="3" s="1"/>
  <c r="I22" i="3" s="1"/>
  <c r="H22" i="3" s="1"/>
  <c r="C22" i="3"/>
  <c r="D22" i="3" s="1"/>
  <c r="F22" i="3" s="1"/>
  <c r="E22" i="3" s="1"/>
  <c r="A23" i="3"/>
  <c r="A24" i="3"/>
  <c r="G24" i="3"/>
  <c r="I24" i="3" s="1"/>
  <c r="H24" i="3" s="1"/>
  <c r="A25" i="3"/>
  <c r="B25" i="3"/>
  <c r="C25" i="3"/>
  <c r="G25" i="3"/>
  <c r="I25" i="3" s="1"/>
  <c r="H25" i="3" s="1"/>
  <c r="K25" i="3"/>
  <c r="A26" i="3"/>
  <c r="G26" i="3" s="1"/>
  <c r="I26" i="3" s="1"/>
  <c r="H26" i="3" s="1"/>
  <c r="C26" i="3"/>
  <c r="A27" i="3"/>
  <c r="J27" i="3"/>
  <c r="A28" i="3"/>
  <c r="B28" i="3" s="1"/>
  <c r="C28" i="3"/>
  <c r="G28" i="3"/>
  <c r="I28" i="3" s="1"/>
  <c r="H28" i="3"/>
  <c r="J28" i="3"/>
  <c r="A29" i="3"/>
  <c r="G29" i="3" s="1"/>
  <c r="I29" i="3" s="1"/>
  <c r="H29" i="3" s="1"/>
  <c r="C29" i="3"/>
  <c r="J29" i="3"/>
  <c r="A30" i="3"/>
  <c r="B30" i="3" s="1"/>
  <c r="K30" i="3"/>
  <c r="A31" i="3"/>
  <c r="B31" i="3" s="1"/>
  <c r="C31" i="3"/>
  <c r="G31" i="3"/>
  <c r="I31" i="3" s="1"/>
  <c r="H31" i="3"/>
  <c r="A32" i="3"/>
  <c r="B32" i="3"/>
  <c r="C32" i="3"/>
  <c r="G32" i="3"/>
  <c r="I32" i="3" s="1"/>
  <c r="H32" i="3" s="1"/>
  <c r="A33" i="3"/>
  <c r="B33" i="3"/>
  <c r="A34" i="3"/>
  <c r="C34" i="3" s="1"/>
  <c r="A35" i="3"/>
  <c r="B35" i="3"/>
  <c r="C35" i="3"/>
  <c r="G35" i="3"/>
  <c r="I35" i="3" s="1"/>
  <c r="H35" i="3"/>
  <c r="A36" i="3"/>
  <c r="C36" i="3" s="1"/>
  <c r="A37" i="3"/>
  <c r="B37" i="3"/>
  <c r="A38" i="3"/>
  <c r="G38" i="3"/>
  <c r="I38" i="3" s="1"/>
  <c r="H38" i="3"/>
  <c r="A39" i="3"/>
  <c r="B39" i="3"/>
  <c r="C39" i="3"/>
  <c r="G39" i="3"/>
  <c r="I39" i="3" s="1"/>
  <c r="H39" i="3" s="1"/>
  <c r="A40" i="3"/>
  <c r="B40" i="3"/>
  <c r="C40" i="3"/>
  <c r="G40" i="3"/>
  <c r="I40" i="3" s="1"/>
  <c r="H40" i="3" s="1"/>
  <c r="A41" i="3"/>
  <c r="B41" i="3"/>
  <c r="A42" i="3"/>
  <c r="C42" i="3"/>
  <c r="A43" i="3"/>
  <c r="B43" i="3"/>
  <c r="C43" i="3"/>
  <c r="G43" i="3"/>
  <c r="I43" i="3" s="1"/>
  <c r="H43" i="3" s="1"/>
  <c r="A44" i="3"/>
  <c r="B44" i="3"/>
  <c r="C44" i="3"/>
  <c r="G44" i="3"/>
  <c r="I44" i="3"/>
  <c r="H44" i="3" s="1"/>
  <c r="A45" i="3"/>
  <c r="B45" i="3"/>
  <c r="A46" i="3"/>
  <c r="G46" i="3"/>
  <c r="I46" i="3" s="1"/>
  <c r="H46" i="3" s="1"/>
  <c r="A47" i="3"/>
  <c r="B47" i="3"/>
  <c r="C47" i="3"/>
  <c r="G47" i="3"/>
  <c r="I47" i="3" s="1"/>
  <c r="H47" i="3" s="1"/>
  <c r="A48" i="3"/>
  <c r="C48" i="3" s="1"/>
  <c r="B48" i="3"/>
  <c r="G48" i="3"/>
  <c r="I48" i="3" s="1"/>
  <c r="H48" i="3" s="1"/>
  <c r="A49" i="3"/>
  <c r="B49" i="3"/>
  <c r="A50" i="3"/>
  <c r="A51" i="3"/>
  <c r="B51" i="3"/>
  <c r="C51" i="3"/>
  <c r="G51" i="3"/>
  <c r="I51" i="3" s="1"/>
  <c r="H51" i="3" s="1"/>
  <c r="A52" i="3"/>
  <c r="B52" i="3"/>
  <c r="C52" i="3"/>
  <c r="G52" i="3"/>
  <c r="I52" i="3" s="1"/>
  <c r="H52" i="3" s="1"/>
  <c r="A53" i="3"/>
  <c r="B53" i="3"/>
  <c r="A54" i="3"/>
  <c r="B54" i="3" s="1"/>
  <c r="G54" i="3"/>
  <c r="I54" i="3" s="1"/>
  <c r="H54" i="3" s="1"/>
  <c r="A55" i="3"/>
  <c r="B55" i="3"/>
  <c r="C55" i="3"/>
  <c r="G55" i="3"/>
  <c r="I55" i="3" s="1"/>
  <c r="H55" i="3" s="1"/>
  <c r="A56" i="3"/>
  <c r="B56" i="3"/>
  <c r="C56" i="3"/>
  <c r="G56" i="3"/>
  <c r="I56" i="3"/>
  <c r="H56" i="3" s="1"/>
  <c r="A57" i="3"/>
  <c r="B57" i="3"/>
  <c r="A58" i="3"/>
  <c r="G58" i="3" s="1"/>
  <c r="I58" i="3" s="1"/>
  <c r="H58" i="3" s="1"/>
  <c r="A59" i="3"/>
  <c r="B59" i="3"/>
  <c r="C59" i="3"/>
  <c r="G59" i="3"/>
  <c r="I59" i="3" s="1"/>
  <c r="H59" i="3" s="1"/>
  <c r="A60" i="3"/>
  <c r="B60" i="3"/>
  <c r="C60" i="3"/>
  <c r="G60" i="3"/>
  <c r="I60" i="3" s="1"/>
  <c r="H60" i="3" s="1"/>
  <c r="A61" i="3"/>
  <c r="B61" i="3"/>
  <c r="A62" i="3"/>
  <c r="G62" i="3"/>
  <c r="I62" i="3" s="1"/>
  <c r="H62" i="3" s="1"/>
  <c r="A63" i="3"/>
  <c r="B63" i="3"/>
  <c r="C63" i="3"/>
  <c r="G63" i="3"/>
  <c r="I63" i="3" s="1"/>
  <c r="H63" i="3"/>
  <c r="A64" i="3"/>
  <c r="G64" i="3" s="1"/>
  <c r="I64" i="3" s="1"/>
  <c r="H64" i="3" s="1"/>
  <c r="B64" i="3"/>
  <c r="C64" i="3"/>
  <c r="A65" i="3"/>
  <c r="B65" i="3" s="1"/>
  <c r="A66" i="3"/>
  <c r="A67" i="3"/>
  <c r="B67" i="3"/>
  <c r="C67" i="3"/>
  <c r="D67" i="3" s="1"/>
  <c r="F67" i="3" s="1"/>
  <c r="E67" i="3" s="1"/>
  <c r="G67" i="3"/>
  <c r="I67" i="3" s="1"/>
  <c r="H67" i="3" s="1"/>
  <c r="A68" i="3"/>
  <c r="B68" i="3"/>
  <c r="C68" i="3"/>
  <c r="G68" i="3"/>
  <c r="I68" i="3" s="1"/>
  <c r="H68" i="3" s="1"/>
  <c r="A69" i="3"/>
  <c r="B69" i="3"/>
  <c r="A70" i="3"/>
  <c r="G70" i="3"/>
  <c r="I70" i="3" s="1"/>
  <c r="H70" i="3" s="1"/>
  <c r="A71" i="3"/>
  <c r="B71" i="3"/>
  <c r="C71" i="3"/>
  <c r="G71" i="3"/>
  <c r="I71" i="3" s="1"/>
  <c r="H71" i="3"/>
  <c r="A72" i="3"/>
  <c r="B72" i="3"/>
  <c r="C72" i="3"/>
  <c r="G72" i="3"/>
  <c r="I72" i="3" s="1"/>
  <c r="H72" i="3" s="1"/>
  <c r="A73" i="3"/>
  <c r="B73" i="3"/>
  <c r="A74" i="3"/>
  <c r="A75" i="3"/>
  <c r="B75" i="3"/>
  <c r="C75" i="3"/>
  <c r="G75" i="3"/>
  <c r="I75" i="3" s="1"/>
  <c r="H75" i="3" s="1"/>
  <c r="A76" i="3"/>
  <c r="G76" i="3" s="1"/>
  <c r="I76" i="3" s="1"/>
  <c r="H76" i="3" s="1"/>
  <c r="B76" i="3"/>
  <c r="C76" i="3"/>
  <c r="A77" i="3"/>
  <c r="B77" i="3"/>
  <c r="A78" i="3"/>
  <c r="G78" i="3"/>
  <c r="I78" i="3" s="1"/>
  <c r="H78" i="3"/>
  <c r="A79" i="3"/>
  <c r="B79" i="3"/>
  <c r="C79" i="3"/>
  <c r="D79" i="3"/>
  <c r="F79" i="3" s="1"/>
  <c r="E79" i="3" s="1"/>
  <c r="G79" i="3"/>
  <c r="I79" i="3" s="1"/>
  <c r="H79" i="3" s="1"/>
  <c r="A80" i="3"/>
  <c r="B80" i="3"/>
  <c r="C80" i="3"/>
  <c r="G80" i="3"/>
  <c r="I80" i="3" s="1"/>
  <c r="H80" i="3" s="1"/>
  <c r="A81" i="3"/>
  <c r="B81" i="3"/>
  <c r="A82" i="3"/>
  <c r="A83" i="3"/>
  <c r="B83" i="3"/>
  <c r="C83" i="3"/>
  <c r="G83" i="3"/>
  <c r="I83" i="3" s="1"/>
  <c r="H83" i="3" s="1"/>
  <c r="A84" i="3"/>
  <c r="B84" i="3"/>
  <c r="C84" i="3"/>
  <c r="G84" i="3"/>
  <c r="I84" i="3"/>
  <c r="H84" i="3" s="1"/>
  <c r="A85" i="3"/>
  <c r="B85" i="3"/>
  <c r="A86" i="3"/>
  <c r="G86" i="3"/>
  <c r="I86" i="3" s="1"/>
  <c r="H86" i="3" s="1"/>
  <c r="A87" i="3"/>
  <c r="B87" i="3"/>
  <c r="C87" i="3"/>
  <c r="G87" i="3"/>
  <c r="I87" i="3" s="1"/>
  <c r="H87" i="3" s="1"/>
  <c r="A88" i="3"/>
  <c r="G88" i="3" s="1"/>
  <c r="I88" i="3" s="1"/>
  <c r="B88" i="3"/>
  <c r="C88" i="3"/>
  <c r="H88" i="3"/>
  <c r="A89" i="3"/>
  <c r="C89" i="3" s="1"/>
  <c r="B89" i="3"/>
  <c r="A90" i="3"/>
  <c r="B90" i="3" s="1"/>
  <c r="C90" i="3"/>
  <c r="D90" i="3" s="1"/>
  <c r="F90" i="3" s="1"/>
  <c r="E90" i="3" s="1"/>
  <c r="A91" i="3"/>
  <c r="B91" i="3"/>
  <c r="C91" i="3"/>
  <c r="G91" i="3"/>
  <c r="I91" i="3" s="1"/>
  <c r="H91" i="3" s="1"/>
  <c r="A92" i="3"/>
  <c r="B92" i="3"/>
  <c r="C92" i="3"/>
  <c r="D92" i="3"/>
  <c r="F92" i="3" s="1"/>
  <c r="E92" i="3" s="1"/>
  <c r="G92" i="3"/>
  <c r="I92" i="3" s="1"/>
  <c r="H92" i="3" s="1"/>
  <c r="A93" i="3"/>
  <c r="G93" i="3" s="1"/>
  <c r="I93" i="3" s="1"/>
  <c r="B93" i="3"/>
  <c r="C93" i="3"/>
  <c r="H93" i="3"/>
  <c r="A94" i="3"/>
  <c r="G94" i="3" s="1"/>
  <c r="I94" i="3" s="1"/>
  <c r="B94" i="3"/>
  <c r="H94" i="3"/>
  <c r="A95" i="3"/>
  <c r="G95" i="3" s="1"/>
  <c r="I95" i="3" s="1"/>
  <c r="B95" i="3"/>
  <c r="H95" i="3"/>
  <c r="A96" i="3"/>
  <c r="G96" i="3" s="1"/>
  <c r="I96" i="3" s="1"/>
  <c r="B96" i="3"/>
  <c r="C96" i="3"/>
  <c r="H96" i="3"/>
  <c r="A97" i="3"/>
  <c r="B97" i="3"/>
  <c r="A98" i="3"/>
  <c r="C98" i="3"/>
  <c r="D98" i="3" s="1"/>
  <c r="F98" i="3" s="1"/>
  <c r="E98" i="3" s="1"/>
  <c r="A99" i="3"/>
  <c r="B99" i="3"/>
  <c r="C99" i="3"/>
  <c r="G99" i="3"/>
  <c r="I99" i="3" s="1"/>
  <c r="H99" i="3" s="1"/>
  <c r="A100" i="3"/>
  <c r="B100" i="3" s="1"/>
  <c r="G100" i="3"/>
  <c r="I100" i="3" s="1"/>
  <c r="H100" i="3" s="1"/>
  <c r="A101" i="3"/>
  <c r="G101" i="3" s="1"/>
  <c r="I101" i="3" s="1"/>
  <c r="B101" i="3"/>
  <c r="C101" i="3"/>
  <c r="D101" i="3" s="1"/>
  <c r="F101" i="3" s="1"/>
  <c r="E101" i="3" s="1"/>
  <c r="H101" i="3"/>
  <c r="A102" i="3"/>
  <c r="G102" i="3" s="1"/>
  <c r="I102" i="3" s="1"/>
  <c r="B102" i="3"/>
  <c r="H102" i="3"/>
  <c r="A103" i="3"/>
  <c r="G103" i="3" s="1"/>
  <c r="I103" i="3" s="1"/>
  <c r="B103" i="3"/>
  <c r="H103" i="3"/>
  <c r="A104" i="3"/>
  <c r="G104" i="3" s="1"/>
  <c r="I104" i="3" s="1"/>
  <c r="H104" i="3"/>
  <c r="A105" i="3"/>
  <c r="B105" i="3"/>
  <c r="A106" i="3"/>
  <c r="C106" i="3"/>
  <c r="D106" i="3" s="1"/>
  <c r="F106" i="3" s="1"/>
  <c r="E106" i="3" s="1"/>
  <c r="A107" i="3"/>
  <c r="B107" i="3"/>
  <c r="C107" i="3"/>
  <c r="G107" i="3"/>
  <c r="I107" i="3" s="1"/>
  <c r="H107" i="3" s="1"/>
  <c r="A108" i="3"/>
  <c r="B108" i="3" s="1"/>
  <c r="G108" i="3"/>
  <c r="I108" i="3" s="1"/>
  <c r="H108" i="3" s="1"/>
  <c r="A109" i="3"/>
  <c r="G109" i="3" s="1"/>
  <c r="I109" i="3" s="1"/>
  <c r="B109" i="3"/>
  <c r="C109" i="3"/>
  <c r="D109" i="3" s="1"/>
  <c r="F109" i="3" s="1"/>
  <c r="E109" i="3" s="1"/>
  <c r="H109" i="3"/>
  <c r="A110" i="3"/>
  <c r="G110" i="3" s="1"/>
  <c r="I110" i="3" s="1"/>
  <c r="B110" i="3"/>
  <c r="H110" i="3"/>
  <c r="A111" i="3"/>
  <c r="G111" i="3" s="1"/>
  <c r="I111" i="3" s="1"/>
  <c r="B111" i="3"/>
  <c r="H111" i="3"/>
  <c r="A112" i="3"/>
  <c r="G112" i="3" s="1"/>
  <c r="I112" i="3" s="1"/>
  <c r="H112" i="3"/>
  <c r="A113" i="3"/>
  <c r="B113" i="3"/>
  <c r="A114" i="3"/>
  <c r="C114" i="3"/>
  <c r="D114" i="3" s="1"/>
  <c r="F114" i="3" s="1"/>
  <c r="E114" i="3" s="1"/>
  <c r="A115" i="3"/>
  <c r="B115" i="3"/>
  <c r="C115" i="3"/>
  <c r="D115" i="3"/>
  <c r="F115" i="3" s="1"/>
  <c r="E115" i="3" s="1"/>
  <c r="G115" i="3"/>
  <c r="I115" i="3" s="1"/>
  <c r="H115" i="3" s="1"/>
  <c r="A116" i="3"/>
  <c r="B116" i="3" s="1"/>
  <c r="G116" i="3"/>
  <c r="I116" i="3" s="1"/>
  <c r="H116" i="3" s="1"/>
  <c r="A117" i="3"/>
  <c r="G117" i="3" s="1"/>
  <c r="I117" i="3" s="1"/>
  <c r="B117" i="3"/>
  <c r="C117" i="3"/>
  <c r="D117" i="3" s="1"/>
  <c r="F117" i="3" s="1"/>
  <c r="E117" i="3" s="1"/>
  <c r="H117" i="3"/>
  <c r="A118" i="3"/>
  <c r="G118" i="3" s="1"/>
  <c r="I118" i="3" s="1"/>
  <c r="H118" i="3" s="1"/>
  <c r="B118" i="3"/>
  <c r="A119" i="3"/>
  <c r="G119" i="3" s="1"/>
  <c r="I119" i="3" s="1"/>
  <c r="H119" i="3" s="1"/>
  <c r="A120" i="3"/>
  <c r="G120" i="3" s="1"/>
  <c r="B120" i="3"/>
  <c r="C120" i="3"/>
  <c r="I120" i="3"/>
  <c r="H120" i="3" s="1"/>
  <c r="A121" i="3"/>
  <c r="B121" i="3" s="1"/>
  <c r="A122" i="3"/>
  <c r="C122" i="3" s="1"/>
  <c r="D122" i="3" s="1"/>
  <c r="F122" i="3" s="1"/>
  <c r="E122" i="3" s="1"/>
  <c r="A123" i="3"/>
  <c r="B123" i="3"/>
  <c r="C123" i="3"/>
  <c r="D123" i="3" s="1"/>
  <c r="F123" i="3" s="1"/>
  <c r="E123" i="3" s="1"/>
  <c r="G123" i="3"/>
  <c r="I123" i="3" s="1"/>
  <c r="H123" i="3"/>
  <c r="A124" i="3"/>
  <c r="B124" i="3"/>
  <c r="C124" i="3"/>
  <c r="D124" i="3" s="1"/>
  <c r="F124" i="3" s="1"/>
  <c r="E124" i="3" s="1"/>
  <c r="G124" i="3"/>
  <c r="I124" i="3" s="1"/>
  <c r="H124" i="3" s="1"/>
  <c r="A125" i="3"/>
  <c r="G125" i="3" s="1"/>
  <c r="I125" i="3"/>
  <c r="H125" i="3" s="1"/>
  <c r="A126" i="3"/>
  <c r="G126" i="3" s="1"/>
  <c r="I126" i="3" s="1"/>
  <c r="H126" i="3" s="1"/>
  <c r="B126" i="3"/>
  <c r="A127" i="3"/>
  <c r="G127" i="3" s="1"/>
  <c r="I127" i="3" s="1"/>
  <c r="H127" i="3" s="1"/>
  <c r="A128" i="3"/>
  <c r="G128" i="3" s="1"/>
  <c r="B128" i="3"/>
  <c r="C128" i="3"/>
  <c r="I128" i="3"/>
  <c r="H128" i="3" s="1"/>
  <c r="A129" i="3"/>
  <c r="B129" i="3" s="1"/>
  <c r="A130" i="3"/>
  <c r="B130" i="3" s="1"/>
  <c r="G130" i="3"/>
  <c r="I130" i="3" s="1"/>
  <c r="H130" i="3" s="1"/>
  <c r="A131" i="3"/>
  <c r="B131" i="3" s="1"/>
  <c r="G131" i="3"/>
  <c r="I131" i="3" s="1"/>
  <c r="H131" i="3" s="1"/>
  <c r="A132" i="3"/>
  <c r="B132" i="3" s="1"/>
  <c r="G132" i="3"/>
  <c r="I132" i="3" s="1"/>
  <c r="H132" i="3" s="1"/>
  <c r="A133" i="3"/>
  <c r="C133" i="3" s="1"/>
  <c r="D133" i="3" s="1"/>
  <c r="F133" i="3" s="1"/>
  <c r="E133" i="3" s="1"/>
  <c r="G133" i="3"/>
  <c r="I133" i="3" s="1"/>
  <c r="H133" i="3" s="1"/>
  <c r="A134" i="3"/>
  <c r="B134" i="3" s="1"/>
  <c r="G134" i="3"/>
  <c r="I134" i="3" s="1"/>
  <c r="H134" i="3" s="1"/>
  <c r="A135" i="3"/>
  <c r="B135" i="3"/>
  <c r="C135" i="3"/>
  <c r="G135" i="3"/>
  <c r="I135" i="3" s="1"/>
  <c r="H135" i="3"/>
  <c r="A136" i="3"/>
  <c r="G136" i="3" s="1"/>
  <c r="I136" i="3" s="1"/>
  <c r="H136" i="3" s="1"/>
  <c r="A137" i="3"/>
  <c r="G137" i="3" s="1"/>
  <c r="I137" i="3" s="1"/>
  <c r="H137" i="3" s="1"/>
  <c r="A138" i="3"/>
  <c r="B138" i="3" s="1"/>
  <c r="G138" i="3"/>
  <c r="I138" i="3" s="1"/>
  <c r="H138" i="3" s="1"/>
  <c r="A139" i="3"/>
  <c r="B139" i="3" s="1"/>
  <c r="G139" i="3"/>
  <c r="I139" i="3" s="1"/>
  <c r="H139" i="3" s="1"/>
  <c r="A140" i="3"/>
  <c r="B140" i="3" s="1"/>
  <c r="G140" i="3"/>
  <c r="I140" i="3" s="1"/>
  <c r="H140" i="3" s="1"/>
  <c r="A141" i="3"/>
  <c r="C141" i="3" s="1"/>
  <c r="D141" i="3" s="1"/>
  <c r="F141" i="3" s="1"/>
  <c r="E141" i="3" s="1"/>
  <c r="G141" i="3"/>
  <c r="I141" i="3" s="1"/>
  <c r="H141" i="3" s="1"/>
  <c r="A142" i="3"/>
  <c r="B142" i="3" s="1"/>
  <c r="G142" i="3"/>
  <c r="I142" i="3" s="1"/>
  <c r="H142" i="3" s="1"/>
  <c r="A143" i="3"/>
  <c r="B143" i="3"/>
  <c r="C143" i="3"/>
  <c r="G143" i="3"/>
  <c r="I143" i="3" s="1"/>
  <c r="H143" i="3"/>
  <c r="A144" i="3"/>
  <c r="G144" i="3" s="1"/>
  <c r="I144" i="3" s="1"/>
  <c r="H144" i="3" s="1"/>
  <c r="A145" i="3"/>
  <c r="G145" i="3" s="1"/>
  <c r="I145" i="3" s="1"/>
  <c r="H145" i="3" s="1"/>
  <c r="A146" i="3"/>
  <c r="B146" i="3" s="1"/>
  <c r="G146" i="3"/>
  <c r="I146" i="3" s="1"/>
  <c r="H146" i="3" s="1"/>
  <c r="A147" i="3"/>
  <c r="G147" i="3" s="1"/>
  <c r="I147" i="3" s="1"/>
  <c r="H147" i="3" s="1"/>
  <c r="A148" i="3"/>
  <c r="G148" i="3" s="1"/>
  <c r="I148" i="3" s="1"/>
  <c r="H148" i="3" s="1"/>
  <c r="C148" i="3"/>
  <c r="D148" i="3" s="1"/>
  <c r="F148" i="3" s="1"/>
  <c r="E148" i="3" s="1"/>
  <c r="A149" i="3"/>
  <c r="B149" i="3"/>
  <c r="C149" i="3"/>
  <c r="D149" i="3"/>
  <c r="F149" i="3" s="1"/>
  <c r="E149" i="3" s="1"/>
  <c r="G149" i="3"/>
  <c r="I149" i="3" s="1"/>
  <c r="H149" i="3" s="1"/>
  <c r="A150" i="3"/>
  <c r="B150" i="3" s="1"/>
  <c r="C150" i="3"/>
  <c r="D150" i="3" s="1"/>
  <c r="F150" i="3" s="1"/>
  <c r="E150" i="3" s="1"/>
  <c r="A151" i="3"/>
  <c r="C151" i="3" s="1"/>
  <c r="D151" i="3" s="1"/>
  <c r="F151" i="3" s="1"/>
  <c r="E151" i="3" s="1"/>
  <c r="B151" i="3"/>
  <c r="A152" i="3"/>
  <c r="B152" i="3" s="1"/>
  <c r="A153" i="3"/>
  <c r="B153" i="3"/>
  <c r="C153" i="3"/>
  <c r="D153" i="3" s="1"/>
  <c r="F153" i="3" s="1"/>
  <c r="E153" i="3" s="1"/>
  <c r="G153" i="3"/>
  <c r="I153" i="3" s="1"/>
  <c r="H153" i="3" s="1"/>
  <c r="A154" i="3"/>
  <c r="B154" i="3"/>
  <c r="C154" i="3"/>
  <c r="D154" i="3" s="1"/>
  <c r="F154" i="3" s="1"/>
  <c r="E154" i="3" s="1"/>
  <c r="G154" i="3"/>
  <c r="I154" i="3" s="1"/>
  <c r="H154" i="3" s="1"/>
  <c r="A155" i="3"/>
  <c r="G155" i="3" s="1"/>
  <c r="I155" i="3" s="1"/>
  <c r="H155" i="3" s="1"/>
  <c r="A156" i="3"/>
  <c r="G156" i="3" s="1"/>
  <c r="I156" i="3" s="1"/>
  <c r="H156" i="3" s="1"/>
  <c r="C156" i="3"/>
  <c r="D156" i="3" s="1"/>
  <c r="F156" i="3" s="1"/>
  <c r="E156" i="3" s="1"/>
  <c r="A157" i="3"/>
  <c r="B157" i="3"/>
  <c r="C157" i="3"/>
  <c r="D157" i="3"/>
  <c r="F157" i="3" s="1"/>
  <c r="E157" i="3" s="1"/>
  <c r="G157" i="3"/>
  <c r="I157" i="3" s="1"/>
  <c r="H157" i="3" s="1"/>
  <c r="A158" i="3"/>
  <c r="B158" i="3" s="1"/>
  <c r="C158" i="3"/>
  <c r="D158" i="3" s="1"/>
  <c r="F158" i="3" s="1"/>
  <c r="E158" i="3" s="1"/>
  <c r="A159" i="3"/>
  <c r="C159" i="3" s="1"/>
  <c r="D159" i="3" s="1"/>
  <c r="F159" i="3" s="1"/>
  <c r="E159" i="3" s="1"/>
  <c r="B159" i="3"/>
  <c r="A160" i="3"/>
  <c r="B160" i="3" s="1"/>
  <c r="A161" i="3"/>
  <c r="B161" i="3"/>
  <c r="C161" i="3"/>
  <c r="D161" i="3" s="1"/>
  <c r="F161" i="3" s="1"/>
  <c r="E161" i="3" s="1"/>
  <c r="G161" i="3"/>
  <c r="I161" i="3" s="1"/>
  <c r="H161" i="3" s="1"/>
  <c r="A162" i="3"/>
  <c r="B162" i="3"/>
  <c r="C162" i="3"/>
  <c r="D162" i="3" s="1"/>
  <c r="F162" i="3" s="1"/>
  <c r="E162" i="3" s="1"/>
  <c r="G162" i="3"/>
  <c r="I162" i="3" s="1"/>
  <c r="H162" i="3" s="1"/>
  <c r="A163" i="3"/>
  <c r="G163" i="3" s="1"/>
  <c r="I163" i="3" s="1"/>
  <c r="H163" i="3" s="1"/>
  <c r="A164" i="3"/>
  <c r="G164" i="3" s="1"/>
  <c r="I164" i="3" s="1"/>
  <c r="H164" i="3" s="1"/>
  <c r="C164" i="3"/>
  <c r="D164" i="3" s="1"/>
  <c r="F164" i="3" s="1"/>
  <c r="E164" i="3" s="1"/>
  <c r="A167" i="3"/>
  <c r="B167" i="3"/>
  <c r="C167" i="3"/>
  <c r="D167" i="3"/>
  <c r="E167" i="3"/>
  <c r="A168" i="3"/>
  <c r="B168" i="3"/>
  <c r="C168" i="3"/>
  <c r="D168" i="3"/>
  <c r="E168" i="3"/>
  <c r="A169" i="3"/>
  <c r="B169" i="3"/>
  <c r="C169" i="3"/>
  <c r="D169" i="3"/>
  <c r="E169" i="3"/>
  <c r="A170" i="3"/>
  <c r="B170" i="3"/>
  <c r="C170" i="3"/>
  <c r="D170" i="3"/>
  <c r="E170" i="3"/>
  <c r="A171" i="3"/>
  <c r="B171" i="3"/>
  <c r="C171" i="3"/>
  <c r="D171" i="3"/>
  <c r="E171" i="3"/>
  <c r="A172" i="3"/>
  <c r="B172" i="3"/>
  <c r="C172" i="3"/>
  <c r="D172" i="3"/>
  <c r="E172" i="3"/>
  <c r="A173" i="3"/>
  <c r="B173" i="3"/>
  <c r="C173" i="3"/>
  <c r="D173" i="3"/>
  <c r="E173" i="3"/>
  <c r="A174" i="3"/>
  <c r="B174" i="3"/>
  <c r="C174" i="3"/>
  <c r="D174" i="3"/>
  <c r="E174" i="3"/>
  <c r="A175" i="3"/>
  <c r="B175" i="3"/>
  <c r="C175" i="3"/>
  <c r="D175" i="3"/>
  <c r="E175" i="3"/>
  <c r="A176" i="3"/>
  <c r="B176" i="3"/>
  <c r="C176" i="3"/>
  <c r="D176" i="3"/>
  <c r="E176" i="3"/>
  <c r="A177" i="3"/>
  <c r="B177" i="3"/>
  <c r="C177" i="3"/>
  <c r="D177" i="3"/>
  <c r="E177" i="3"/>
  <c r="A178" i="3"/>
  <c r="B178" i="3"/>
  <c r="C178" i="3"/>
  <c r="D178" i="3"/>
  <c r="E178" i="3"/>
  <c r="A179" i="3"/>
  <c r="B179" i="3"/>
  <c r="C179" i="3"/>
  <c r="D179" i="3"/>
  <c r="E179" i="3"/>
  <c r="A180" i="3"/>
  <c r="B180" i="3"/>
  <c r="C180" i="3"/>
  <c r="D180" i="3"/>
  <c r="E180" i="3"/>
  <c r="A181" i="3"/>
  <c r="B181" i="3"/>
  <c r="C181" i="3"/>
  <c r="D181" i="3"/>
  <c r="E181" i="3"/>
  <c r="A182" i="3"/>
  <c r="B182" i="3"/>
  <c r="C182" i="3"/>
  <c r="D182" i="3"/>
  <c r="E182" i="3"/>
  <c r="A183" i="3"/>
  <c r="B183" i="3"/>
  <c r="C183" i="3"/>
  <c r="D183" i="3"/>
  <c r="E183" i="3"/>
  <c r="A184" i="3"/>
  <c r="B184" i="3"/>
  <c r="C184" i="3"/>
  <c r="D184" i="3"/>
  <c r="E184" i="3"/>
  <c r="A185" i="3"/>
  <c r="B185" i="3"/>
  <c r="C185" i="3"/>
  <c r="D185" i="3"/>
  <c r="E185" i="3"/>
  <c r="A186" i="3"/>
  <c r="B186" i="3"/>
  <c r="C186" i="3"/>
  <c r="D186" i="3"/>
  <c r="E186" i="3"/>
  <c r="A187" i="3"/>
  <c r="B187" i="3"/>
  <c r="C187" i="3"/>
  <c r="D187" i="3"/>
  <c r="E187" i="3"/>
  <c r="C190" i="3"/>
  <c r="K9" i="3" s="1"/>
  <c r="D71" i="3" s="1"/>
  <c r="F71" i="3" s="1"/>
  <c r="E71" i="3" s="1"/>
  <c r="C191" i="3"/>
  <c r="K10" i="3" s="1"/>
  <c r="D99" i="3" s="1"/>
  <c r="F99" i="3" s="1"/>
  <c r="E99" i="3" s="1"/>
  <c r="C192" i="3"/>
  <c r="K11" i="3" s="1"/>
  <c r="D29" i="3" s="1"/>
  <c r="F29" i="3" s="1"/>
  <c r="E29" i="3" s="1"/>
  <c r="C193" i="3"/>
  <c r="K12" i="3" s="1"/>
  <c r="D59" i="3" s="1"/>
  <c r="F59" i="3" s="1"/>
  <c r="E59" i="3" s="1"/>
  <c r="C194" i="3"/>
  <c r="K13" i="3" s="1"/>
  <c r="C195" i="3"/>
  <c r="K14" i="3" s="1"/>
  <c r="C196" i="3"/>
  <c r="K15" i="3" s="1"/>
  <c r="C197" i="3"/>
  <c r="K16" i="3" s="1"/>
  <c r="C198" i="3"/>
  <c r="K17" i="3" s="1"/>
  <c r="D143" i="3" s="1"/>
  <c r="F143" i="3" s="1"/>
  <c r="E143" i="3" s="1"/>
  <c r="C199" i="3"/>
  <c r="K18" i="3" s="1"/>
  <c r="D55" i="3" s="1"/>
  <c r="F55" i="3" s="1"/>
  <c r="E55" i="3" s="1"/>
  <c r="C200" i="3"/>
  <c r="K19" i="3" s="1"/>
  <c r="C201" i="3"/>
  <c r="K20" i="3" s="1"/>
  <c r="C202" i="3"/>
  <c r="K21" i="3" s="1"/>
  <c r="C203" i="3"/>
  <c r="K22" i="3" s="1"/>
  <c r="D10" i="3" s="1"/>
  <c r="F10" i="3" s="1"/>
  <c r="E10" i="3" s="1"/>
  <c r="C204" i="3"/>
  <c r="K23" i="3" s="1"/>
  <c r="C205" i="3"/>
  <c r="K24" i="3" s="1"/>
  <c r="C207" i="3"/>
  <c r="K26" i="3" s="1"/>
  <c r="D47" i="3" s="1"/>
  <c r="F47" i="3" s="1"/>
  <c r="E47" i="3" s="1"/>
  <c r="C208" i="3"/>
  <c r="K27" i="3" s="1"/>
  <c r="C209" i="3"/>
  <c r="K28" i="3" s="1"/>
  <c r="D42" i="3" s="1"/>
  <c r="F42" i="3" s="1"/>
  <c r="E42" i="3" s="1"/>
  <c r="C210" i="3"/>
  <c r="K29" i="3" s="1"/>
  <c r="D107" i="3" s="1"/>
  <c r="F107" i="3" s="1"/>
  <c r="E107" i="3" s="1"/>
  <c r="F2" i="2"/>
  <c r="G152" i="3" l="1"/>
  <c r="I152" i="3" s="1"/>
  <c r="H152" i="3" s="1"/>
  <c r="D18" i="3"/>
  <c r="F18" i="3" s="1"/>
  <c r="E18" i="3" s="1"/>
  <c r="D43" i="3"/>
  <c r="F43" i="3" s="1"/>
  <c r="E43" i="3" s="1"/>
  <c r="B164" i="3"/>
  <c r="C163" i="3"/>
  <c r="D163" i="3" s="1"/>
  <c r="F163" i="3" s="1"/>
  <c r="E163" i="3" s="1"/>
  <c r="G159" i="3"/>
  <c r="I159" i="3" s="1"/>
  <c r="H159" i="3" s="1"/>
  <c r="B156" i="3"/>
  <c r="C155" i="3"/>
  <c r="D155" i="3" s="1"/>
  <c r="F155" i="3" s="1"/>
  <c r="E155" i="3" s="1"/>
  <c r="G151" i="3"/>
  <c r="I151" i="3" s="1"/>
  <c r="H151" i="3" s="1"/>
  <c r="B148" i="3"/>
  <c r="C147" i="3"/>
  <c r="D147" i="3" s="1"/>
  <c r="F147" i="3" s="1"/>
  <c r="E147" i="3" s="1"/>
  <c r="C146" i="3"/>
  <c r="D146" i="3" s="1"/>
  <c r="F146" i="3" s="1"/>
  <c r="E146" i="3" s="1"/>
  <c r="C145" i="3"/>
  <c r="D145" i="3" s="1"/>
  <c r="F145" i="3" s="1"/>
  <c r="E145" i="3" s="1"/>
  <c r="C144" i="3"/>
  <c r="D144" i="3" s="1"/>
  <c r="F144" i="3" s="1"/>
  <c r="E144" i="3" s="1"/>
  <c r="C140" i="3"/>
  <c r="D140" i="3" s="1"/>
  <c r="F140" i="3" s="1"/>
  <c r="E140" i="3" s="1"/>
  <c r="C139" i="3"/>
  <c r="D139" i="3" s="1"/>
  <c r="F139" i="3" s="1"/>
  <c r="E139" i="3" s="1"/>
  <c r="C138" i="3"/>
  <c r="D138" i="3" s="1"/>
  <c r="F138" i="3" s="1"/>
  <c r="E138" i="3" s="1"/>
  <c r="C137" i="3"/>
  <c r="D137" i="3" s="1"/>
  <c r="F137" i="3" s="1"/>
  <c r="E137" i="3" s="1"/>
  <c r="C136" i="3"/>
  <c r="D136" i="3" s="1"/>
  <c r="F136" i="3" s="1"/>
  <c r="E136" i="3" s="1"/>
  <c r="C132" i="3"/>
  <c r="D132" i="3" s="1"/>
  <c r="F132" i="3" s="1"/>
  <c r="E132" i="3" s="1"/>
  <c r="C131" i="3"/>
  <c r="D131" i="3" s="1"/>
  <c r="F131" i="3" s="1"/>
  <c r="E131" i="3" s="1"/>
  <c r="C130" i="3"/>
  <c r="D130" i="3" s="1"/>
  <c r="F130" i="3" s="1"/>
  <c r="E130" i="3" s="1"/>
  <c r="C116" i="3"/>
  <c r="D116" i="3" s="1"/>
  <c r="F116" i="3" s="1"/>
  <c r="E116" i="3" s="1"/>
  <c r="C112" i="3"/>
  <c r="D112" i="3" s="1"/>
  <c r="F112" i="3" s="1"/>
  <c r="E112" i="3" s="1"/>
  <c r="C108" i="3"/>
  <c r="D108" i="3" s="1"/>
  <c r="F108" i="3" s="1"/>
  <c r="E108" i="3" s="1"/>
  <c r="C104" i="3"/>
  <c r="D104" i="3" s="1"/>
  <c r="F104" i="3" s="1"/>
  <c r="E104" i="3" s="1"/>
  <c r="C100" i="3"/>
  <c r="D100" i="3" s="1"/>
  <c r="F100" i="3" s="1"/>
  <c r="E100" i="3" s="1"/>
  <c r="D96" i="3"/>
  <c r="F96" i="3" s="1"/>
  <c r="E96" i="3" s="1"/>
  <c r="D88" i="3"/>
  <c r="F88" i="3" s="1"/>
  <c r="E88" i="3" s="1"/>
  <c r="G81" i="3"/>
  <c r="I81" i="3" s="1"/>
  <c r="H81" i="3" s="1"/>
  <c r="C81" i="3"/>
  <c r="D81" i="3" s="1"/>
  <c r="F81" i="3" s="1"/>
  <c r="E81" i="3" s="1"/>
  <c r="D68" i="3"/>
  <c r="F68" i="3" s="1"/>
  <c r="E68" i="3" s="1"/>
  <c r="D83" i="3"/>
  <c r="F83" i="3" s="1"/>
  <c r="E83" i="3" s="1"/>
  <c r="D63" i="3"/>
  <c r="F63" i="3" s="1"/>
  <c r="E63" i="3" s="1"/>
  <c r="D51" i="3"/>
  <c r="F51" i="3" s="1"/>
  <c r="E51" i="3" s="1"/>
  <c r="B163" i="3"/>
  <c r="G158" i="3"/>
  <c r="I158" i="3" s="1"/>
  <c r="H158" i="3" s="1"/>
  <c r="B155" i="3"/>
  <c r="G150" i="3"/>
  <c r="I150" i="3" s="1"/>
  <c r="H150" i="3" s="1"/>
  <c r="B147" i="3"/>
  <c r="B145" i="3"/>
  <c r="B144" i="3"/>
  <c r="C142" i="3"/>
  <c r="D142" i="3" s="1"/>
  <c r="F142" i="3" s="1"/>
  <c r="E142" i="3" s="1"/>
  <c r="B141" i="3"/>
  <c r="B137" i="3"/>
  <c r="B136" i="3"/>
  <c r="C134" i="3"/>
  <c r="D134" i="3" s="1"/>
  <c r="F134" i="3" s="1"/>
  <c r="E134" i="3" s="1"/>
  <c r="B133" i="3"/>
  <c r="C129" i="3"/>
  <c r="D129" i="3" s="1"/>
  <c r="F129" i="3" s="1"/>
  <c r="E129" i="3" s="1"/>
  <c r="G129" i="3"/>
  <c r="I129" i="3" s="1"/>
  <c r="H129" i="3" s="1"/>
  <c r="C121" i="3"/>
  <c r="D121" i="3" s="1"/>
  <c r="F121" i="3" s="1"/>
  <c r="E121" i="3" s="1"/>
  <c r="G121" i="3"/>
  <c r="I121" i="3" s="1"/>
  <c r="H121" i="3" s="1"/>
  <c r="B112" i="3"/>
  <c r="B104" i="3"/>
  <c r="D93" i="3"/>
  <c r="F93" i="3" s="1"/>
  <c r="E93" i="3" s="1"/>
  <c r="D75" i="3"/>
  <c r="F75" i="3" s="1"/>
  <c r="E75" i="3" s="1"/>
  <c r="B66" i="3"/>
  <c r="C66" i="3"/>
  <c r="D66" i="3" s="1"/>
  <c r="F66" i="3" s="1"/>
  <c r="E66" i="3" s="1"/>
  <c r="G66" i="3"/>
  <c r="I66" i="3" s="1"/>
  <c r="H66" i="3" s="1"/>
  <c r="D35" i="3"/>
  <c r="F35" i="3" s="1"/>
  <c r="E35" i="3" s="1"/>
  <c r="B122" i="3"/>
  <c r="G122" i="3"/>
  <c r="I122" i="3" s="1"/>
  <c r="H122" i="3" s="1"/>
  <c r="D89" i="3"/>
  <c r="F89" i="3" s="1"/>
  <c r="E89" i="3" s="1"/>
  <c r="B86" i="3"/>
  <c r="C86" i="3"/>
  <c r="D86" i="3" s="1"/>
  <c r="F86" i="3" s="1"/>
  <c r="E86" i="3" s="1"/>
  <c r="G160" i="3"/>
  <c r="I160" i="3" s="1"/>
  <c r="H160" i="3" s="1"/>
  <c r="D135" i="3"/>
  <c r="F135" i="3" s="1"/>
  <c r="E135" i="3" s="1"/>
  <c r="C160" i="3"/>
  <c r="D160" i="3" s="1"/>
  <c r="F160" i="3" s="1"/>
  <c r="E160" i="3" s="1"/>
  <c r="C152" i="3"/>
  <c r="D152" i="3" s="1"/>
  <c r="F152" i="3" s="1"/>
  <c r="E152" i="3" s="1"/>
  <c r="C125" i="3"/>
  <c r="D125" i="3" s="1"/>
  <c r="F125" i="3" s="1"/>
  <c r="E125" i="3" s="1"/>
  <c r="C126" i="3"/>
  <c r="D126" i="3" s="1"/>
  <c r="F126" i="3" s="1"/>
  <c r="E126" i="3" s="1"/>
  <c r="B125" i="3"/>
  <c r="C118" i="3"/>
  <c r="D118" i="3" s="1"/>
  <c r="F118" i="3" s="1"/>
  <c r="E118" i="3" s="1"/>
  <c r="C113" i="3"/>
  <c r="D113" i="3" s="1"/>
  <c r="F113" i="3" s="1"/>
  <c r="E113" i="3" s="1"/>
  <c r="G113" i="3"/>
  <c r="I113" i="3" s="1"/>
  <c r="H113" i="3" s="1"/>
  <c r="C110" i="3"/>
  <c r="D110" i="3" s="1"/>
  <c r="F110" i="3" s="1"/>
  <c r="E110" i="3" s="1"/>
  <c r="C105" i="3"/>
  <c r="D105" i="3" s="1"/>
  <c r="F105" i="3" s="1"/>
  <c r="E105" i="3" s="1"/>
  <c r="G105" i="3"/>
  <c r="I105" i="3" s="1"/>
  <c r="H105" i="3" s="1"/>
  <c r="C102" i="3"/>
  <c r="D102" i="3" s="1"/>
  <c r="F102" i="3" s="1"/>
  <c r="E102" i="3" s="1"/>
  <c r="C97" i="3"/>
  <c r="D97" i="3" s="1"/>
  <c r="F97" i="3" s="1"/>
  <c r="E97" i="3" s="1"/>
  <c r="G97" i="3"/>
  <c r="I97" i="3" s="1"/>
  <c r="H97" i="3" s="1"/>
  <c r="C94" i="3"/>
  <c r="D94" i="3" s="1"/>
  <c r="F94" i="3" s="1"/>
  <c r="E94" i="3" s="1"/>
  <c r="D87" i="3"/>
  <c r="F87" i="3" s="1"/>
  <c r="E87" i="3" s="1"/>
  <c r="D72" i="3"/>
  <c r="F72" i="3" s="1"/>
  <c r="E72" i="3" s="1"/>
  <c r="D91" i="3"/>
  <c r="F91" i="3" s="1"/>
  <c r="E91" i="3" s="1"/>
  <c r="B82" i="3"/>
  <c r="G82" i="3"/>
  <c r="I82" i="3" s="1"/>
  <c r="H82" i="3" s="1"/>
  <c r="C82" i="3"/>
  <c r="D82" i="3" s="1"/>
  <c r="F82" i="3" s="1"/>
  <c r="E82" i="3" s="1"/>
  <c r="D76" i="3"/>
  <c r="F76" i="3" s="1"/>
  <c r="E76" i="3" s="1"/>
  <c r="D39" i="3"/>
  <c r="F39" i="3" s="1"/>
  <c r="E39" i="3" s="1"/>
  <c r="D26" i="3"/>
  <c r="F26" i="3" s="1"/>
  <c r="E26" i="3" s="1"/>
  <c r="B20" i="3"/>
  <c r="C20" i="3"/>
  <c r="D20" i="3" s="1"/>
  <c r="F20" i="3" s="1"/>
  <c r="E20" i="3" s="1"/>
  <c r="G20" i="3"/>
  <c r="I20" i="3" s="1"/>
  <c r="H20" i="3" s="1"/>
  <c r="C127" i="3"/>
  <c r="D127" i="3" s="1"/>
  <c r="F127" i="3" s="1"/>
  <c r="E127" i="3" s="1"/>
  <c r="C119" i="3"/>
  <c r="D119" i="3" s="1"/>
  <c r="F119" i="3" s="1"/>
  <c r="E119" i="3" s="1"/>
  <c r="D128" i="3"/>
  <c r="F128" i="3" s="1"/>
  <c r="E128" i="3" s="1"/>
  <c r="B127" i="3"/>
  <c r="D120" i="3"/>
  <c r="F120" i="3" s="1"/>
  <c r="E120" i="3" s="1"/>
  <c r="B119" i="3"/>
  <c r="B114" i="3"/>
  <c r="G114" i="3"/>
  <c r="I114" i="3" s="1"/>
  <c r="H114" i="3" s="1"/>
  <c r="C111" i="3"/>
  <c r="D111" i="3" s="1"/>
  <c r="F111" i="3" s="1"/>
  <c r="E111" i="3" s="1"/>
  <c r="B106" i="3"/>
  <c r="G106" i="3"/>
  <c r="I106" i="3" s="1"/>
  <c r="H106" i="3" s="1"/>
  <c r="C103" i="3"/>
  <c r="D103" i="3" s="1"/>
  <c r="F103" i="3" s="1"/>
  <c r="E103" i="3" s="1"/>
  <c r="B98" i="3"/>
  <c r="G98" i="3"/>
  <c r="I98" i="3" s="1"/>
  <c r="H98" i="3" s="1"/>
  <c r="C95" i="3"/>
  <c r="D95" i="3" s="1"/>
  <c r="F95" i="3" s="1"/>
  <c r="E95" i="3" s="1"/>
  <c r="B74" i="3"/>
  <c r="C74" i="3"/>
  <c r="D74" i="3" s="1"/>
  <c r="F74" i="3" s="1"/>
  <c r="E74" i="3" s="1"/>
  <c r="G74" i="3"/>
  <c r="I74" i="3" s="1"/>
  <c r="H74" i="3" s="1"/>
  <c r="D64" i="3"/>
  <c r="F64" i="3" s="1"/>
  <c r="E64" i="3" s="1"/>
  <c r="D36" i="3"/>
  <c r="F36" i="3" s="1"/>
  <c r="E36" i="3" s="1"/>
  <c r="G27" i="3"/>
  <c r="I27" i="3" s="1"/>
  <c r="H27" i="3" s="1"/>
  <c r="C27" i="3"/>
  <c r="D27" i="3" s="1"/>
  <c r="F27" i="3" s="1"/>
  <c r="E27" i="3" s="1"/>
  <c r="B78" i="3"/>
  <c r="C78" i="3"/>
  <c r="D78" i="3" s="1"/>
  <c r="F78" i="3" s="1"/>
  <c r="E78" i="3" s="1"/>
  <c r="G73" i="3"/>
  <c r="I73" i="3" s="1"/>
  <c r="H73" i="3" s="1"/>
  <c r="C73" i="3"/>
  <c r="D73" i="3" s="1"/>
  <c r="F73" i="3" s="1"/>
  <c r="E73" i="3" s="1"/>
  <c r="B50" i="3"/>
  <c r="G50" i="3"/>
  <c r="I50" i="3" s="1"/>
  <c r="H50" i="3" s="1"/>
  <c r="C50" i="3"/>
  <c r="D50" i="3" s="1"/>
  <c r="F50" i="3" s="1"/>
  <c r="E50" i="3" s="1"/>
  <c r="D48" i="3"/>
  <c r="F48" i="3" s="1"/>
  <c r="E48" i="3" s="1"/>
  <c r="D44" i="3"/>
  <c r="F44" i="3" s="1"/>
  <c r="E44" i="3" s="1"/>
  <c r="G41" i="3"/>
  <c r="I41" i="3" s="1"/>
  <c r="H41" i="3" s="1"/>
  <c r="C41" i="3"/>
  <c r="D41" i="3" s="1"/>
  <c r="F41" i="3" s="1"/>
  <c r="E41" i="3" s="1"/>
  <c r="D84" i="3"/>
  <c r="F84" i="3" s="1"/>
  <c r="E84" i="3" s="1"/>
  <c r="D80" i="3"/>
  <c r="F80" i="3" s="1"/>
  <c r="E80" i="3" s="1"/>
  <c r="G65" i="3"/>
  <c r="I65" i="3" s="1"/>
  <c r="H65" i="3" s="1"/>
  <c r="C65" i="3"/>
  <c r="D65" i="3" s="1"/>
  <c r="F65" i="3" s="1"/>
  <c r="E65" i="3" s="1"/>
  <c r="B62" i="3"/>
  <c r="C62" i="3"/>
  <c r="D62" i="3" s="1"/>
  <c r="F62" i="3" s="1"/>
  <c r="E62" i="3" s="1"/>
  <c r="B58" i="3"/>
  <c r="C58" i="3"/>
  <c r="D58" i="3" s="1"/>
  <c r="F58" i="3" s="1"/>
  <c r="E58" i="3" s="1"/>
  <c r="D56" i="3"/>
  <c r="F56" i="3" s="1"/>
  <c r="E56" i="3" s="1"/>
  <c r="D31" i="3"/>
  <c r="F31" i="3" s="1"/>
  <c r="E31" i="3" s="1"/>
  <c r="D28" i="3"/>
  <c r="F28" i="3" s="1"/>
  <c r="E28" i="3" s="1"/>
  <c r="D19" i="3"/>
  <c r="F19" i="3" s="1"/>
  <c r="E19" i="3" s="1"/>
  <c r="D9" i="3"/>
  <c r="F9" i="3" s="1"/>
  <c r="E9" i="3" s="1"/>
  <c r="D40" i="3"/>
  <c r="F40" i="3" s="1"/>
  <c r="E40" i="3" s="1"/>
  <c r="G90" i="3"/>
  <c r="I90" i="3" s="1"/>
  <c r="H90" i="3" s="1"/>
  <c r="G89" i="3"/>
  <c r="I89" i="3" s="1"/>
  <c r="H89" i="3" s="1"/>
  <c r="B70" i="3"/>
  <c r="C70" i="3"/>
  <c r="D70" i="3" s="1"/>
  <c r="F70" i="3" s="1"/>
  <c r="E70" i="3" s="1"/>
  <c r="G23" i="3"/>
  <c r="I23" i="3" s="1"/>
  <c r="H23" i="3" s="1"/>
  <c r="C23" i="3"/>
  <c r="D23" i="3" s="1"/>
  <c r="F23" i="3" s="1"/>
  <c r="E23" i="3" s="1"/>
  <c r="B23" i="3"/>
  <c r="D17" i="3"/>
  <c r="F17" i="3" s="1"/>
  <c r="E17" i="3" s="1"/>
  <c r="D14" i="3"/>
  <c r="F14" i="3" s="1"/>
  <c r="E14" i="3" s="1"/>
  <c r="G36" i="3"/>
  <c r="I36" i="3" s="1"/>
  <c r="H36" i="3" s="1"/>
  <c r="B36" i="3"/>
  <c r="D34" i="3"/>
  <c r="F34" i="3" s="1"/>
  <c r="E34" i="3" s="1"/>
  <c r="D32" i="3"/>
  <c r="F32" i="3" s="1"/>
  <c r="E32" i="3" s="1"/>
  <c r="C11" i="3"/>
  <c r="D11" i="3" s="1"/>
  <c r="F11" i="3" s="1"/>
  <c r="E11" i="3" s="1"/>
  <c r="G11" i="3"/>
  <c r="I11" i="3" s="1"/>
  <c r="H11" i="3" s="1"/>
  <c r="D60" i="3"/>
  <c r="F60" i="3" s="1"/>
  <c r="E60" i="3" s="1"/>
  <c r="D52" i="3"/>
  <c r="F52" i="3" s="1"/>
  <c r="E52" i="3" s="1"/>
  <c r="C45" i="3"/>
  <c r="D45" i="3" s="1"/>
  <c r="F45" i="3" s="1"/>
  <c r="E45" i="3" s="1"/>
  <c r="G45" i="3"/>
  <c r="I45" i="3" s="1"/>
  <c r="H45" i="3" s="1"/>
  <c r="B27" i="3"/>
  <c r="G57" i="3"/>
  <c r="I57" i="3" s="1"/>
  <c r="H57" i="3" s="1"/>
  <c r="C57" i="3"/>
  <c r="D57" i="3" s="1"/>
  <c r="F57" i="3" s="1"/>
  <c r="E57" i="3" s="1"/>
  <c r="G49" i="3"/>
  <c r="I49" i="3" s="1"/>
  <c r="H49" i="3" s="1"/>
  <c r="C49" i="3"/>
  <c r="D49" i="3" s="1"/>
  <c r="F49" i="3" s="1"/>
  <c r="E49" i="3" s="1"/>
  <c r="C37" i="3"/>
  <c r="D37" i="3" s="1"/>
  <c r="F37" i="3" s="1"/>
  <c r="E37" i="3" s="1"/>
  <c r="G37" i="3"/>
  <c r="I37" i="3" s="1"/>
  <c r="H37" i="3" s="1"/>
  <c r="G33" i="3"/>
  <c r="I33" i="3" s="1"/>
  <c r="H33" i="3" s="1"/>
  <c r="C33" i="3"/>
  <c r="D33" i="3" s="1"/>
  <c r="F33" i="3" s="1"/>
  <c r="E33" i="3" s="1"/>
  <c r="B24" i="3"/>
  <c r="C24" i="3"/>
  <c r="D24" i="3" s="1"/>
  <c r="F24" i="3" s="1"/>
  <c r="E24" i="3" s="1"/>
  <c r="D21" i="3"/>
  <c r="F21" i="3" s="1"/>
  <c r="E21" i="3" s="1"/>
  <c r="C15" i="3"/>
  <c r="D15" i="3" s="1"/>
  <c r="F15" i="3" s="1"/>
  <c r="E15" i="3" s="1"/>
  <c r="G15" i="3"/>
  <c r="I15" i="3" s="1"/>
  <c r="H15" i="3" s="1"/>
  <c r="D13" i="3"/>
  <c r="F13" i="3" s="1"/>
  <c r="E13" i="3" s="1"/>
  <c r="C85" i="3"/>
  <c r="D85" i="3" s="1"/>
  <c r="F85" i="3" s="1"/>
  <c r="E85" i="3" s="1"/>
  <c r="G85" i="3"/>
  <c r="I85" i="3" s="1"/>
  <c r="H85" i="3" s="1"/>
  <c r="C77" i="3"/>
  <c r="D77" i="3" s="1"/>
  <c r="F77" i="3" s="1"/>
  <c r="E77" i="3" s="1"/>
  <c r="G77" i="3"/>
  <c r="I77" i="3" s="1"/>
  <c r="H77" i="3" s="1"/>
  <c r="C69" i="3"/>
  <c r="D69" i="3" s="1"/>
  <c r="F69" i="3" s="1"/>
  <c r="E69" i="3" s="1"/>
  <c r="G69" i="3"/>
  <c r="I69" i="3" s="1"/>
  <c r="H69" i="3" s="1"/>
  <c r="C61" i="3"/>
  <c r="D61" i="3" s="1"/>
  <c r="F61" i="3" s="1"/>
  <c r="E61" i="3" s="1"/>
  <c r="G61" i="3"/>
  <c r="I61" i="3" s="1"/>
  <c r="H61" i="3" s="1"/>
  <c r="C54" i="3"/>
  <c r="D54" i="3" s="1"/>
  <c r="F54" i="3" s="1"/>
  <c r="E54" i="3" s="1"/>
  <c r="C53" i="3"/>
  <c r="D53" i="3" s="1"/>
  <c r="F53" i="3" s="1"/>
  <c r="E53" i="3" s="1"/>
  <c r="G53" i="3"/>
  <c r="I53" i="3" s="1"/>
  <c r="H53" i="3" s="1"/>
  <c r="B46" i="3"/>
  <c r="C46" i="3"/>
  <c r="D46" i="3" s="1"/>
  <c r="F46" i="3" s="1"/>
  <c r="E46" i="3" s="1"/>
  <c r="G42" i="3"/>
  <c r="I42" i="3" s="1"/>
  <c r="H42" i="3" s="1"/>
  <c r="B42" i="3"/>
  <c r="D25" i="3"/>
  <c r="F25" i="3" s="1"/>
  <c r="E25" i="3" s="1"/>
  <c r="B38" i="3"/>
  <c r="C38" i="3"/>
  <c r="D38" i="3" s="1"/>
  <c r="F38" i="3" s="1"/>
  <c r="E38" i="3" s="1"/>
  <c r="G34" i="3"/>
  <c r="I34" i="3" s="1"/>
  <c r="H34" i="3" s="1"/>
  <c r="B34" i="3"/>
  <c r="C30" i="3"/>
  <c r="D30" i="3" s="1"/>
  <c r="F30" i="3" s="1"/>
  <c r="E30" i="3" s="1"/>
  <c r="G30" i="3"/>
  <c r="I30" i="3" s="1"/>
  <c r="H30" i="3" s="1"/>
  <c r="D8" i="3"/>
  <c r="F8" i="3" s="1"/>
  <c r="E8" i="3" s="1"/>
  <c r="B29" i="3"/>
  <c r="B26" i="3"/>
  <c r="B22" i="3"/>
  <c r="B18" i="3"/>
  <c r="B14" i="3"/>
  <c r="B10" i="3"/>
  <c r="C16" i="3"/>
  <c r="D16" i="3" s="1"/>
  <c r="F16" i="3" s="1"/>
  <c r="E16" i="3" s="1"/>
  <c r="C12" i="3"/>
  <c r="D12" i="3" s="1"/>
  <c r="F12" i="3" s="1"/>
  <c r="E1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 Damodaran</author>
  </authors>
  <commentList>
    <comment ref="E5" authorId="0" shapeId="0" xr:uid="{C91E2F44-7EA6-4959-A7F3-DEDE0ADF3850}">
      <text>
        <r>
          <rPr>
            <b/>
            <sz val="10"/>
            <color rgb="FF000000"/>
            <rFont val="Calibri"/>
            <family val="2"/>
          </rPr>
          <t>Aswath Damodaran: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See worksheet on relative equity market volatility.</t>
        </r>
      </text>
    </comment>
  </commentList>
</comments>
</file>

<file path=xl/sharedStrings.xml><?xml version="1.0" encoding="utf-8"?>
<sst xmlns="http://schemas.openxmlformats.org/spreadsheetml/2006/main" count="79" uniqueCount="56">
  <si>
    <t>BETA</t>
  </si>
  <si>
    <t>BVB</t>
  </si>
  <si>
    <t>SOCEP</t>
  </si>
  <si>
    <t>NA</t>
  </si>
  <si>
    <t>NR</t>
  </si>
  <si>
    <t>Caa3</t>
  </si>
  <si>
    <t>Caa2</t>
  </si>
  <si>
    <t>Caa1</t>
  </si>
  <si>
    <t>Ca</t>
  </si>
  <si>
    <t>C</t>
  </si>
  <si>
    <t>Baa3</t>
  </si>
  <si>
    <t>Baa2</t>
  </si>
  <si>
    <t>Baa1</t>
  </si>
  <si>
    <t>Ba3</t>
  </si>
  <si>
    <t>Ba2</t>
  </si>
  <si>
    <t>Ba1</t>
  </si>
  <si>
    <t>B3</t>
  </si>
  <si>
    <t>B2</t>
  </si>
  <si>
    <t>B1</t>
  </si>
  <si>
    <t>Aaa</t>
  </si>
  <si>
    <t>Aa3</t>
  </si>
  <si>
    <t>Aa2</t>
  </si>
  <si>
    <t>Aa1</t>
  </si>
  <si>
    <t>A3</t>
  </si>
  <si>
    <t>A2</t>
  </si>
  <si>
    <t>A1</t>
  </si>
  <si>
    <t>Default spread in basis points</t>
  </si>
  <si>
    <t>Rating</t>
  </si>
  <si>
    <t>Default Spread</t>
  </si>
  <si>
    <t>CRP</t>
  </si>
  <si>
    <t>ERP</t>
  </si>
  <si>
    <t>PRS Composite Risk Score</t>
  </si>
  <si>
    <t>Country</t>
  </si>
  <si>
    <t>Frontier Markets (no sovereign ratings)</t>
  </si>
  <si>
    <t>Has to be sorted in ascending order</t>
  </si>
  <si>
    <t>Country Risk Premium3</t>
  </si>
  <si>
    <t>Total Equity Risk Premium2</t>
  </si>
  <si>
    <t>Sovereign CDS, net of Swiss CDS</t>
  </si>
  <si>
    <t>Country Risk Premium</t>
  </si>
  <si>
    <t>Total Equity Risk Premium</t>
  </si>
  <si>
    <t>Rating-based Default Spread</t>
  </si>
  <si>
    <t>Moody's rating</t>
  </si>
  <si>
    <t>Africa</t>
  </si>
  <si>
    <t>See "Relative Equity Volatilty" worksheet</t>
  </si>
  <si>
    <t>If yes, enter the multiplier to use on the default spread (See worksheet for volatility numbers for selected emerging markets)</t>
  </si>
  <si>
    <t>Yes</t>
  </si>
  <si>
    <t>Do you want to adjust the country default spread for the additional volatility of the equity market to get to a country premium?</t>
  </si>
  <si>
    <t>Implied ERP for S&amp;P 500 with adjusted dollar riskfree rate (for US Aa1 rating</t>
  </si>
  <si>
    <t>Enter the current risk premium for a mature equity market</t>
  </si>
  <si>
    <t>Date of update:</t>
  </si>
  <si>
    <t>Country and Equity Risk Premiums</t>
  </si>
  <si>
    <t>Cost of equity</t>
  </si>
  <si>
    <t>CDS</t>
  </si>
  <si>
    <t>Beta</t>
  </si>
  <si>
    <t>Risk free rate</t>
  </si>
  <si>
    <t xml:space="preserve">10y bond yield ron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</si>
</sst>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+#,##0.0000%;\-#,##0.0000%;#,##0.0000%;&quot;--&quot;"/>
    <numFmt numFmtId="165" formatCode="dd\-mmm\-yyyy"/>
    <numFmt numFmtId="166" formatCode="0.000000000000000"/>
    <numFmt numFmtId="167" formatCode="0.0"/>
    <numFmt numFmtId="168" formatCode="[$-409]d\-mmm\-yy;@"/>
    <numFmt numFmtId="169" formatCode="0.0000000000000000%"/>
    <numFmt numFmtId="170" formatCode="0.0000"/>
  </numFmts>
  <fonts count="1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9"/>
      <name val="Geneva"/>
      <family val="2"/>
      <charset val="1"/>
    </font>
    <font>
      <i/>
      <sz val="9"/>
      <name val="Geneva"/>
      <family val="2"/>
      <charset val="1"/>
    </font>
    <font>
      <sz val="12"/>
      <name val="Times"/>
      <family val="1"/>
    </font>
    <font>
      <sz val="12"/>
      <name val="Calibri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name val="Times"/>
      <family val="1"/>
    </font>
    <font>
      <b/>
      <sz val="12"/>
      <name val="Times"/>
      <family val="1"/>
    </font>
    <font>
      <b/>
      <i/>
      <sz val="9"/>
      <name val="Geneva"/>
      <family val="2"/>
      <charset val="1"/>
    </font>
    <font>
      <b/>
      <i/>
      <sz val="12"/>
      <name val="Times"/>
      <family val="1"/>
    </font>
    <font>
      <b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Border="0" applyAlignment="0"/>
    <xf numFmtId="0" fontId="3" fillId="0" borderId="0"/>
    <xf numFmtId="9" fontId="3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1"/>
    <xf numFmtId="164" fontId="2" fillId="0" borderId="1" xfId="1" applyNumberFormat="1" applyFont="1" applyBorder="1"/>
    <xf numFmtId="165" fontId="2" fillId="0" borderId="1" xfId="1" applyNumberFormat="1" applyFont="1" applyBorder="1"/>
    <xf numFmtId="166" fontId="1" fillId="0" borderId="0" xfId="1" applyNumberFormat="1"/>
    <xf numFmtId="0" fontId="3" fillId="0" borderId="0" xfId="2"/>
    <xf numFmtId="0" fontId="3" fillId="0" borderId="0" xfId="2" applyAlignment="1">
      <alignment horizontal="left"/>
    </xf>
    <xf numFmtId="0" fontId="3" fillId="0" borderId="2" xfId="2" applyBorder="1" applyAlignment="1">
      <alignment horizontal="center"/>
    </xf>
    <xf numFmtId="1" fontId="3" fillId="0" borderId="2" xfId="2" applyNumberFormat="1" applyBorder="1" applyAlignment="1">
      <alignment horizontal="center"/>
    </xf>
    <xf numFmtId="0" fontId="4" fillId="0" borderId="2" xfId="2" applyFont="1" applyBorder="1" applyAlignment="1">
      <alignment horizontal="center"/>
    </xf>
    <xf numFmtId="10" fontId="5" fillId="0" borderId="0" xfId="2" applyNumberFormat="1" applyFont="1" applyAlignment="1">
      <alignment horizontal="center"/>
    </xf>
    <xf numFmtId="10" fontId="5" fillId="0" borderId="0" xfId="3" applyNumberFormat="1" applyFont="1" applyBorder="1"/>
    <xf numFmtId="10" fontId="5" fillId="0" borderId="3" xfId="2" applyNumberFormat="1" applyFont="1" applyBorder="1" applyAlignment="1">
      <alignment horizontal="center"/>
    </xf>
    <xf numFmtId="167" fontId="6" fillId="0" borderId="3" xfId="2" applyNumberFormat="1" applyFont="1" applyBorder="1" applyAlignment="1">
      <alignment horizontal="left"/>
    </xf>
    <xf numFmtId="0" fontId="6" fillId="0" borderId="0" xfId="2" applyFont="1" applyAlignment="1">
      <alignment horizontal="left"/>
    </xf>
    <xf numFmtId="10" fontId="7" fillId="0" borderId="2" xfId="3" applyNumberFormat="1" applyFont="1" applyBorder="1" applyAlignment="1">
      <alignment horizontal="center"/>
    </xf>
    <xf numFmtId="10" fontId="8" fillId="0" borderId="2" xfId="3" applyNumberFormat="1" applyFont="1" applyBorder="1" applyAlignment="1">
      <alignment horizontal="center"/>
    </xf>
    <xf numFmtId="0" fontId="7" fillId="0" borderId="2" xfId="2" applyFont="1" applyBorder="1" applyAlignment="1">
      <alignment horizontal="center"/>
    </xf>
    <xf numFmtId="0" fontId="7" fillId="0" borderId="2" xfId="2" applyFont="1" applyBorder="1"/>
    <xf numFmtId="10" fontId="9" fillId="0" borderId="0" xfId="2" applyNumberFormat="1" applyFont="1" applyAlignment="1">
      <alignment horizontal="center"/>
    </xf>
    <xf numFmtId="0" fontId="4" fillId="0" borderId="0" xfId="2" applyFont="1" applyAlignment="1">
      <alignment horizontal="center"/>
    </xf>
    <xf numFmtId="0" fontId="4" fillId="0" borderId="0" xfId="2" applyFont="1" applyAlignment="1">
      <alignment horizontal="left"/>
    </xf>
    <xf numFmtId="0" fontId="10" fillId="0" borderId="0" xfId="2" applyFont="1" applyAlignment="1">
      <alignment horizontal="center"/>
    </xf>
    <xf numFmtId="10" fontId="5" fillId="0" borderId="4" xfId="2" applyNumberFormat="1" applyFont="1" applyBorder="1" applyAlignment="1">
      <alignment horizontal="center"/>
    </xf>
    <xf numFmtId="10" fontId="5" fillId="0" borderId="5" xfId="2" applyNumberFormat="1" applyFont="1" applyBorder="1" applyAlignment="1">
      <alignment horizontal="center"/>
    </xf>
    <xf numFmtId="10" fontId="5" fillId="2" borderId="2" xfId="2" applyNumberFormat="1" applyFont="1" applyFill="1" applyBorder="1" applyAlignment="1">
      <alignment horizontal="center"/>
    </xf>
    <xf numFmtId="10" fontId="5" fillId="0" borderId="2" xfId="2" applyNumberFormat="1" applyFont="1" applyBorder="1" applyAlignment="1">
      <alignment horizontal="center"/>
    </xf>
    <xf numFmtId="10" fontId="5" fillId="0" borderId="2" xfId="3" applyNumberFormat="1" applyFont="1" applyBorder="1" applyAlignment="1">
      <alignment horizontal="center"/>
    </xf>
    <xf numFmtId="0" fontId="5" fillId="0" borderId="2" xfId="2" applyFont="1" applyBorder="1" applyAlignment="1">
      <alignment horizontal="center"/>
    </xf>
    <xf numFmtId="0" fontId="3" fillId="0" borderId="2" xfId="2" applyBorder="1" applyAlignment="1">
      <alignment horizontal="left"/>
    </xf>
    <xf numFmtId="0" fontId="5" fillId="0" borderId="6" xfId="2" applyFont="1" applyBorder="1" applyAlignment="1">
      <alignment horizontal="left"/>
    </xf>
    <xf numFmtId="10" fontId="5" fillId="0" borderId="7" xfId="2" applyNumberFormat="1" applyFont="1" applyBorder="1" applyAlignment="1">
      <alignment horizontal="center"/>
    </xf>
    <xf numFmtId="0" fontId="3" fillId="0" borderId="2" xfId="2" applyBorder="1" applyAlignment="1">
      <alignment horizontal="center" vertical="center"/>
    </xf>
    <xf numFmtId="1" fontId="3" fillId="0" borderId="2" xfId="2" applyNumberFormat="1" applyBorder="1" applyAlignment="1">
      <alignment horizontal="center" vertical="center"/>
    </xf>
    <xf numFmtId="0" fontId="11" fillId="0" borderId="0" xfId="2" applyFont="1"/>
    <xf numFmtId="0" fontId="4" fillId="0" borderId="0" xfId="2" applyFont="1"/>
    <xf numFmtId="0" fontId="12" fillId="0" borderId="8" xfId="2" applyFont="1" applyBorder="1" applyAlignment="1">
      <alignment horizontal="center"/>
    </xf>
    <xf numFmtId="0" fontId="12" fillId="0" borderId="3" xfId="2" applyFont="1" applyBorder="1" applyAlignment="1">
      <alignment horizontal="center"/>
    </xf>
    <xf numFmtId="0" fontId="12" fillId="0" borderId="3" xfId="2" applyFont="1" applyBorder="1" applyAlignment="1">
      <alignment horizontal="center" wrapText="1"/>
    </xf>
    <xf numFmtId="0" fontId="5" fillId="0" borderId="3" xfId="2" applyFont="1" applyBorder="1" applyAlignment="1">
      <alignment horizontal="center"/>
    </xf>
    <xf numFmtId="0" fontId="3" fillId="0" borderId="3" xfId="2" applyBorder="1" applyAlignment="1">
      <alignment horizontal="left"/>
    </xf>
    <xf numFmtId="0" fontId="12" fillId="0" borderId="9" xfId="2" applyFont="1" applyBorder="1" applyAlignment="1">
      <alignment horizontal="left"/>
    </xf>
    <xf numFmtId="0" fontId="3" fillId="3" borderId="0" xfId="2" applyFill="1" applyAlignment="1">
      <alignment horizontal="center"/>
    </xf>
    <xf numFmtId="0" fontId="4" fillId="3" borderId="0" xfId="2" applyFont="1" applyFill="1" applyAlignment="1">
      <alignment horizontal="left"/>
    </xf>
    <xf numFmtId="2" fontId="3" fillId="4" borderId="2" xfId="2" applyNumberFormat="1" applyFill="1" applyBorder="1" applyAlignment="1">
      <alignment horizontal="center"/>
    </xf>
    <xf numFmtId="0" fontId="3" fillId="4" borderId="2" xfId="2" applyFill="1" applyBorder="1" applyAlignment="1">
      <alignment horizontal="center"/>
    </xf>
    <xf numFmtId="10" fontId="3" fillId="4" borderId="2" xfId="2" applyNumberFormat="1" applyFill="1" applyBorder="1" applyAlignment="1">
      <alignment horizontal="center"/>
    </xf>
    <xf numFmtId="0" fontId="10" fillId="0" borderId="0" xfId="2" applyFont="1" applyAlignment="1">
      <alignment horizontal="center"/>
    </xf>
    <xf numFmtId="168" fontId="5" fillId="5" borderId="2" xfId="2" applyNumberFormat="1" applyFont="1" applyFill="1" applyBorder="1" applyAlignment="1">
      <alignment horizontal="center"/>
    </xf>
    <xf numFmtId="0" fontId="5" fillId="0" borderId="0" xfId="2" applyFont="1" applyAlignment="1">
      <alignment horizontal="left"/>
    </xf>
    <xf numFmtId="0" fontId="10" fillId="0" borderId="0" xfId="2" applyFont="1" applyAlignment="1">
      <alignment horizontal="centerContinuous"/>
    </xf>
    <xf numFmtId="0" fontId="10" fillId="0" borderId="0" xfId="2" applyFont="1" applyAlignment="1">
      <alignment horizontal="left"/>
    </xf>
    <xf numFmtId="169" fontId="1" fillId="0" borderId="0" xfId="1" applyNumberFormat="1"/>
    <xf numFmtId="10" fontId="1" fillId="0" borderId="0" xfId="1" applyNumberFormat="1"/>
    <xf numFmtId="170" fontId="1" fillId="0" borderId="0" xfId="1" applyNumberFormat="1"/>
  </cellXfs>
  <cellStyles count="4">
    <cellStyle name="Normal" xfId="0" builtinId="0"/>
    <cellStyle name="Normal 2" xfId="1" xr:uid="{19ADA3CA-8B80-4302-A0DD-BA3BBE3970DB}"/>
    <cellStyle name="Normal 2 2" xfId="2" xr:uid="{5655E16D-324E-4B9C-9977-F774EE964C80}"/>
    <cellStyle name="Percent 2" xfId="3" xr:uid="{32E41FCF-FC47-49F9-BA14-1ABB981D0268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7" formatCode="0.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Geneva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family val="1"/>
        <scheme val="none"/>
      </font>
      <numFmt numFmtId="14" formatCode="0.00%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auto="1"/>
        <name val="Time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serban\Downloads\ctrypremJuly25.xlsx" TargetMode="External"/><Relationship Id="rId1" Type="http://schemas.openxmlformats.org/officeDocument/2006/relationships/externalLinkPath" Target="file:///C:\Users\vserban\Downloads\ctrypremJuly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 and FAQ"/>
      <sheetName val="Summary of Most Recent Update"/>
      <sheetName val="Country Lookup"/>
      <sheetName val="ERPs by country"/>
      <sheetName val="Relative Equity Volatility"/>
      <sheetName val="Regional Simple Averages"/>
      <sheetName val="Regional Weighted Averages"/>
      <sheetName val="Regional breakdown"/>
      <sheetName val="Sovereign Ratings (Moody's,S&amp;P)"/>
      <sheetName val="Regional lookup table"/>
      <sheetName val="Default Spreads for Ratings"/>
      <sheetName val="10-year CDS Spreads"/>
      <sheetName val="Equity vs Govt Bond vol Risky"/>
      <sheetName val="Country GDP"/>
      <sheetName val="Ratings worksheet"/>
      <sheetName val="Country Tax Rates"/>
      <sheetName val="PRS Worksheet"/>
      <sheetName val="Data Update Sequenc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D7">
            <v>1.504564300834484</v>
          </cell>
        </row>
      </sheetData>
      <sheetData sheetId="5" refreshError="1"/>
      <sheetData sheetId="6" refreshError="1"/>
      <sheetData sheetId="7" refreshError="1"/>
      <sheetData sheetId="8">
        <row r="2">
          <cell r="A2" t="str">
            <v>Abu Dhabi</v>
          </cell>
          <cell r="B2" t="e">
            <v>#N/A</v>
          </cell>
          <cell r="C2" t="e">
            <v>#N/A</v>
          </cell>
          <cell r="D2" t="str">
            <v>Aa2</v>
          </cell>
        </row>
        <row r="3">
          <cell r="A3" t="str">
            <v>Albania</v>
          </cell>
          <cell r="B3" t="str">
            <v>BB</v>
          </cell>
          <cell r="C3" t="str">
            <v>NR</v>
          </cell>
          <cell r="D3" t="str">
            <v>Ba3</v>
          </cell>
        </row>
        <row r="4">
          <cell r="A4" t="str">
            <v>Andorra (Principality of)</v>
          </cell>
          <cell r="B4" t="str">
            <v>A-</v>
          </cell>
          <cell r="C4" t="e">
            <v>#N/A</v>
          </cell>
          <cell r="D4" t="str">
            <v>Baa1</v>
          </cell>
        </row>
        <row r="5">
          <cell r="A5" t="str">
            <v>Angola</v>
          </cell>
          <cell r="B5" t="str">
            <v>B-</v>
          </cell>
          <cell r="C5" t="str">
            <v>B-</v>
          </cell>
          <cell r="D5" t="str">
            <v>B3</v>
          </cell>
        </row>
        <row r="6">
          <cell r="A6" t="str">
            <v>Argentina</v>
          </cell>
          <cell r="B6" t="str">
            <v>CCC</v>
          </cell>
          <cell r="C6" t="str">
            <v>CCC</v>
          </cell>
          <cell r="D6" t="str">
            <v>Caa3</v>
          </cell>
        </row>
        <row r="7">
          <cell r="A7" t="str">
            <v>Armenia</v>
          </cell>
          <cell r="B7" t="str">
            <v>BB-</v>
          </cell>
          <cell r="C7" t="str">
            <v>B+</v>
          </cell>
          <cell r="D7" t="str">
            <v>Ba3</v>
          </cell>
        </row>
        <row r="8">
          <cell r="A8" t="str">
            <v>Aruba</v>
          </cell>
          <cell r="B8" t="str">
            <v>BBB+</v>
          </cell>
          <cell r="C8" t="e">
            <v>#N/A</v>
          </cell>
          <cell r="D8" t="str">
            <v>Baa3</v>
          </cell>
        </row>
        <row r="9">
          <cell r="A9" t="str">
            <v>Australia</v>
          </cell>
          <cell r="B9" t="str">
            <v>AAA</v>
          </cell>
          <cell r="C9" t="str">
            <v>AAA</v>
          </cell>
          <cell r="D9" t="str">
            <v>Aaa</v>
          </cell>
        </row>
        <row r="10">
          <cell r="A10" t="str">
            <v>Austria</v>
          </cell>
          <cell r="B10" t="str">
            <v>AA+</v>
          </cell>
          <cell r="C10" t="str">
            <v>AA+</v>
          </cell>
          <cell r="D10" t="str">
            <v>Aa1</v>
          </cell>
        </row>
        <row r="11">
          <cell r="A11" t="str">
            <v>Azerbaijan</v>
          </cell>
          <cell r="B11" t="str">
            <v>BB+</v>
          </cell>
          <cell r="C11" t="str">
            <v>BB+</v>
          </cell>
          <cell r="D11" t="str">
            <v>Baa3</v>
          </cell>
        </row>
        <row r="12">
          <cell r="A12" t="str">
            <v>Bahamas</v>
          </cell>
          <cell r="B12" t="str">
            <v>B+</v>
          </cell>
          <cell r="C12" t="str">
            <v>NR</v>
          </cell>
          <cell r="D12" t="str">
            <v>B1</v>
          </cell>
        </row>
        <row r="13">
          <cell r="A13" t="str">
            <v>Bahrain</v>
          </cell>
          <cell r="B13" t="str">
            <v>B+ </v>
          </cell>
          <cell r="C13" t="str">
            <v>B+</v>
          </cell>
          <cell r="D13" t="str">
            <v>B2</v>
          </cell>
        </row>
        <row r="14">
          <cell r="A14" t="str">
            <v>Bangladesh</v>
          </cell>
          <cell r="B14" t="str">
            <v>B+</v>
          </cell>
          <cell r="C14" t="str">
            <v>B+</v>
          </cell>
          <cell r="D14" t="str">
            <v>B2</v>
          </cell>
        </row>
        <row r="15">
          <cell r="A15" t="str">
            <v>Barbados</v>
          </cell>
          <cell r="B15" t="str">
            <v>B </v>
          </cell>
          <cell r="C15" t="str">
            <v>B+</v>
          </cell>
          <cell r="D15" t="str">
            <v>B2</v>
          </cell>
        </row>
        <row r="16">
          <cell r="A16" t="str">
            <v>Belarus</v>
          </cell>
          <cell r="B16" t="e">
            <v>#N/A</v>
          </cell>
          <cell r="C16" t="str">
            <v>NR</v>
          </cell>
          <cell r="D16" t="str">
            <v>C</v>
          </cell>
        </row>
        <row r="17">
          <cell r="A17" t="str">
            <v>Belgium</v>
          </cell>
          <cell r="B17" t="str">
            <v>AA </v>
          </cell>
          <cell r="C17" t="str">
            <v>AA-</v>
          </cell>
          <cell r="D17" t="str">
            <v>Aa3</v>
          </cell>
        </row>
        <row r="18">
          <cell r="A18" t="str">
            <v>Belize</v>
          </cell>
          <cell r="B18" t="str">
            <v>B-</v>
          </cell>
          <cell r="C18" t="str">
            <v>NR</v>
          </cell>
          <cell r="D18" t="str">
            <v>Caa1</v>
          </cell>
        </row>
        <row r="19">
          <cell r="A19" t="str">
            <v>Benin</v>
          </cell>
          <cell r="B19" t="str">
            <v>BB- </v>
          </cell>
          <cell r="C19" t="str">
            <v>B+</v>
          </cell>
          <cell r="D19" t="str">
            <v>B1</v>
          </cell>
        </row>
        <row r="20">
          <cell r="A20" t="str">
            <v>Bermuda</v>
          </cell>
          <cell r="B20" t="str">
            <v>A+</v>
          </cell>
          <cell r="C20" t="e">
            <v>#N/A</v>
          </cell>
          <cell r="D20" t="str">
            <v>A2</v>
          </cell>
        </row>
        <row r="21">
          <cell r="A21" t="str">
            <v>Bolivia</v>
          </cell>
          <cell r="B21" t="str">
            <v>CCC- </v>
          </cell>
          <cell r="C21" t="str">
            <v>CCC</v>
          </cell>
          <cell r="D21" t="str">
            <v>Ca</v>
          </cell>
        </row>
        <row r="22">
          <cell r="A22" t="str">
            <v>Bosnia and Herzegovina</v>
          </cell>
          <cell r="B22" t="str">
            <v>B+</v>
          </cell>
          <cell r="C22" t="str">
            <v>NR</v>
          </cell>
          <cell r="D22" t="str">
            <v>B3</v>
          </cell>
        </row>
        <row r="23">
          <cell r="A23" t="str">
            <v>Botswana</v>
          </cell>
          <cell r="B23" t="str">
            <v>BBB+ </v>
          </cell>
          <cell r="C23" t="str">
            <v>NR</v>
          </cell>
          <cell r="D23" t="str">
            <v>A3</v>
          </cell>
        </row>
        <row r="24">
          <cell r="A24" t="str">
            <v>Brazil</v>
          </cell>
          <cell r="B24" t="str">
            <v>BB</v>
          </cell>
          <cell r="C24" t="str">
            <v>BB</v>
          </cell>
          <cell r="D24" t="str">
            <v>Ba1</v>
          </cell>
        </row>
        <row r="25">
          <cell r="A25" t="str">
            <v>Bulgaria</v>
          </cell>
          <cell r="B25" t="str">
            <v>BBB </v>
          </cell>
          <cell r="C25" t="str">
            <v>BBB</v>
          </cell>
          <cell r="D25" t="str">
            <v>Baa1</v>
          </cell>
        </row>
        <row r="26">
          <cell r="A26" t="str">
            <v>Burkina Faso</v>
          </cell>
          <cell r="B26" t="str">
            <v>CCC+</v>
          </cell>
          <cell r="C26" t="str">
            <v>NR</v>
          </cell>
          <cell r="D26" t="str">
            <v>Caa1</v>
          </cell>
        </row>
        <row r="27">
          <cell r="A27" t="str">
            <v>Cambodia</v>
          </cell>
          <cell r="B27" t="e">
            <v>#N/A</v>
          </cell>
          <cell r="C27" t="str">
            <v>NR</v>
          </cell>
          <cell r="D27" t="str">
            <v>B2</v>
          </cell>
        </row>
        <row r="28">
          <cell r="A28" t="str">
            <v>Cameroon</v>
          </cell>
          <cell r="B28" t="str">
            <v>B-</v>
          </cell>
          <cell r="C28" t="str">
            <v>B</v>
          </cell>
          <cell r="D28" t="str">
            <v>Caa1</v>
          </cell>
        </row>
        <row r="29">
          <cell r="A29" t="str">
            <v>Canada</v>
          </cell>
          <cell r="B29" t="str">
            <v>AAA</v>
          </cell>
          <cell r="C29" t="str">
            <v>AA+</v>
          </cell>
          <cell r="D29" t="str">
            <v>Aaa</v>
          </cell>
        </row>
        <row r="30">
          <cell r="A30" t="str">
            <v>Cape Verde</v>
          </cell>
          <cell r="B30" t="str">
            <v>B</v>
          </cell>
          <cell r="C30" t="str">
            <v>B</v>
          </cell>
          <cell r="D30" t="str">
            <v>B2</v>
          </cell>
        </row>
        <row r="31">
          <cell r="A31" t="str">
            <v>Cayman Islands</v>
          </cell>
          <cell r="B31" t="e">
            <v>#N/A</v>
          </cell>
          <cell r="C31" t="e">
            <v>#N/A</v>
          </cell>
          <cell r="D31" t="str">
            <v>Aa3</v>
          </cell>
        </row>
        <row r="32">
          <cell r="A32" t="str">
            <v>Chile</v>
          </cell>
          <cell r="B32" t="str">
            <v>A</v>
          </cell>
          <cell r="C32" t="str">
            <v>A-</v>
          </cell>
          <cell r="D32" t="str">
            <v>A2</v>
          </cell>
        </row>
        <row r="33">
          <cell r="A33" t="str">
            <v>China</v>
          </cell>
          <cell r="B33" t="str">
            <v>A+</v>
          </cell>
          <cell r="C33" t="e">
            <v>#N/A</v>
          </cell>
          <cell r="D33" t="str">
            <v>A1</v>
          </cell>
        </row>
        <row r="34">
          <cell r="A34" t="str">
            <v>Colombia</v>
          </cell>
          <cell r="B34" t="str">
            <v>BB </v>
          </cell>
          <cell r="C34" t="str">
            <v>BB+</v>
          </cell>
          <cell r="D34" t="str">
            <v>Baa3</v>
          </cell>
        </row>
        <row r="35">
          <cell r="A35" t="str">
            <v>Congo (Democratic Republic of)</v>
          </cell>
          <cell r="B35" t="e">
            <v>#N/A</v>
          </cell>
          <cell r="C35" t="e">
            <v>#N/A</v>
          </cell>
          <cell r="D35" t="str">
            <v>B3</v>
          </cell>
        </row>
        <row r="36">
          <cell r="A36" t="str">
            <v>Congo (Republic of)</v>
          </cell>
          <cell r="B36" t="e">
            <v>#N/A</v>
          </cell>
          <cell r="C36" t="e">
            <v>#N/A</v>
          </cell>
          <cell r="D36" t="str">
            <v>Caa2</v>
          </cell>
        </row>
        <row r="37">
          <cell r="A37" t="str">
            <v>Cook Islands</v>
          </cell>
          <cell r="B37" t="e">
            <v>#N/A</v>
          </cell>
          <cell r="C37" t="e">
            <v>#N/A</v>
          </cell>
          <cell r="D37" t="str">
            <v>B1</v>
          </cell>
        </row>
        <row r="38">
          <cell r="A38" t="str">
            <v>Costa Rica</v>
          </cell>
          <cell r="B38" t="str">
            <v>BB- </v>
          </cell>
          <cell r="C38" t="str">
            <v>BB</v>
          </cell>
          <cell r="D38" t="str">
            <v>Ba3</v>
          </cell>
        </row>
        <row r="39">
          <cell r="A39" t="str">
            <v>Côte d'Ivoire</v>
          </cell>
          <cell r="B39" t="str">
            <v>BB</v>
          </cell>
          <cell r="C39" t="e">
            <v>#N/A</v>
          </cell>
          <cell r="D39" t="str">
            <v>Ba2</v>
          </cell>
        </row>
        <row r="40">
          <cell r="A40" t="str">
            <v>Croatia</v>
          </cell>
          <cell r="B40" t="str">
            <v>A- </v>
          </cell>
          <cell r="C40" t="str">
            <v>BBB+</v>
          </cell>
          <cell r="D40" t="str">
            <v>A3</v>
          </cell>
        </row>
        <row r="41">
          <cell r="A41" t="str">
            <v>Cuba</v>
          </cell>
          <cell r="B41" t="e">
            <v>#N/A</v>
          </cell>
          <cell r="C41" t="str">
            <v>NR</v>
          </cell>
          <cell r="D41" t="str">
            <v>Ca</v>
          </cell>
        </row>
        <row r="42">
          <cell r="A42" t="str">
            <v>Curacao</v>
          </cell>
          <cell r="B42" t="str">
            <v>BBB-</v>
          </cell>
          <cell r="C42" t="e">
            <v>#N/A</v>
          </cell>
          <cell r="D42" t="str">
            <v>Baa3</v>
          </cell>
        </row>
        <row r="43">
          <cell r="A43" t="str">
            <v>Cyprus</v>
          </cell>
          <cell r="B43" t="str">
            <v>A-</v>
          </cell>
          <cell r="C43" t="str">
            <v>A-</v>
          </cell>
          <cell r="D43" t="str">
            <v>A3</v>
          </cell>
        </row>
        <row r="44">
          <cell r="A44" t="str">
            <v>Czech Republic</v>
          </cell>
          <cell r="B44" t="str">
            <v>AA-</v>
          </cell>
          <cell r="C44" t="str">
            <v>AA-</v>
          </cell>
          <cell r="D44" t="str">
            <v>Aa3</v>
          </cell>
        </row>
        <row r="45">
          <cell r="A45" t="str">
            <v>Denmark</v>
          </cell>
          <cell r="B45" t="str">
            <v>AAA</v>
          </cell>
          <cell r="C45" t="str">
            <v>AAA</v>
          </cell>
          <cell r="D45" t="str">
            <v>Aaa</v>
          </cell>
        </row>
        <row r="46">
          <cell r="A46" t="str">
            <v>Dominican Republic</v>
          </cell>
          <cell r="B46" t="str">
            <v>BB</v>
          </cell>
          <cell r="C46" t="str">
            <v>BB-</v>
          </cell>
          <cell r="D46" t="str">
            <v>Ba3</v>
          </cell>
        </row>
        <row r="47">
          <cell r="A47" t="str">
            <v>Ecuador</v>
          </cell>
          <cell r="B47" t="str">
            <v>B- </v>
          </cell>
          <cell r="C47" t="str">
            <v>CCC+</v>
          </cell>
          <cell r="D47" t="str">
            <v>Caa3</v>
          </cell>
        </row>
        <row r="48">
          <cell r="A48" t="str">
            <v>Egypt</v>
          </cell>
          <cell r="B48" t="str">
            <v>B-</v>
          </cell>
          <cell r="C48" t="str">
            <v>B-</v>
          </cell>
          <cell r="D48" t="str">
            <v>Caa1</v>
          </cell>
        </row>
        <row r="49">
          <cell r="A49" t="str">
            <v>El Salvador</v>
          </cell>
          <cell r="B49" t="str">
            <v>B-</v>
          </cell>
          <cell r="C49" t="str">
            <v>CC</v>
          </cell>
          <cell r="D49" t="str">
            <v>B3</v>
          </cell>
        </row>
        <row r="50">
          <cell r="A50" t="str">
            <v>Estonia</v>
          </cell>
          <cell r="B50" t="e">
            <v>#N/A</v>
          </cell>
          <cell r="C50" t="str">
            <v>AA-</v>
          </cell>
          <cell r="D50" t="str">
            <v>A1</v>
          </cell>
        </row>
        <row r="51">
          <cell r="A51" t="str">
            <v>Ethiopia</v>
          </cell>
          <cell r="B51" t="e">
            <v>#N/A</v>
          </cell>
          <cell r="C51" t="str">
            <v>NR</v>
          </cell>
          <cell r="D51" t="str">
            <v>Caa2</v>
          </cell>
        </row>
        <row r="52">
          <cell r="A52" t="str">
            <v>Fiji</v>
          </cell>
          <cell r="B52" t="str">
            <v>B+</v>
          </cell>
          <cell r="C52" t="str">
            <v>NR</v>
          </cell>
          <cell r="D52" t="str">
            <v>B1</v>
          </cell>
        </row>
        <row r="53">
          <cell r="A53" t="str">
            <v>Finland</v>
          </cell>
          <cell r="B53" t="str">
            <v>AA+</v>
          </cell>
          <cell r="C53" t="str">
            <v>AA+</v>
          </cell>
          <cell r="D53" t="str">
            <v>Aa1</v>
          </cell>
        </row>
        <row r="54">
          <cell r="A54" t="str">
            <v>France</v>
          </cell>
          <cell r="B54" t="str">
            <v>AA- </v>
          </cell>
          <cell r="C54" t="str">
            <v>AA-</v>
          </cell>
          <cell r="D54" t="str">
            <v>Aa3</v>
          </cell>
        </row>
        <row r="55">
          <cell r="A55" t="str">
            <v>Gabon</v>
          </cell>
          <cell r="B55" t="e">
            <v>#N/A</v>
          </cell>
          <cell r="C55" t="str">
            <v>B-</v>
          </cell>
          <cell r="D55" t="str">
            <v>Caa2</v>
          </cell>
        </row>
        <row r="56">
          <cell r="A56" t="str">
            <v>Georgia</v>
          </cell>
          <cell r="B56" t="str">
            <v>BB</v>
          </cell>
          <cell r="C56" t="str">
            <v>BB</v>
          </cell>
          <cell r="D56" t="str">
            <v>Ba2</v>
          </cell>
        </row>
        <row r="57">
          <cell r="A57" t="str">
            <v>Germany</v>
          </cell>
          <cell r="B57" t="str">
            <v>AAA</v>
          </cell>
          <cell r="C57" t="str">
            <v>AAA</v>
          </cell>
          <cell r="D57" t="str">
            <v>Aaa</v>
          </cell>
        </row>
        <row r="58">
          <cell r="A58" t="str">
            <v>Ghana</v>
          </cell>
          <cell r="B58" t="str">
            <v>CCC+</v>
          </cell>
          <cell r="C58" t="str">
            <v>NR</v>
          </cell>
          <cell r="D58" t="str">
            <v>Caa2</v>
          </cell>
        </row>
        <row r="59">
          <cell r="A59" t="str">
            <v>Greece</v>
          </cell>
          <cell r="B59" t="str">
            <v>BBB</v>
          </cell>
          <cell r="C59" t="str">
            <v>BBB-</v>
          </cell>
          <cell r="D59" t="str">
            <v>Baa3</v>
          </cell>
        </row>
        <row r="60">
          <cell r="A60" t="str">
            <v>Guatemala</v>
          </cell>
          <cell r="B60" t="str">
            <v>BB+</v>
          </cell>
          <cell r="C60" t="str">
            <v>BB</v>
          </cell>
          <cell r="D60" t="str">
            <v>Ba1</v>
          </cell>
        </row>
        <row r="61">
          <cell r="A61" t="str">
            <v>Guernsey (States of)</v>
          </cell>
          <cell r="B61" t="str">
            <v>A+</v>
          </cell>
          <cell r="C61" t="e">
            <v>#N/A</v>
          </cell>
          <cell r="D61" t="str">
            <v>A1</v>
          </cell>
        </row>
        <row r="62">
          <cell r="A62" t="str">
            <v>Honduras</v>
          </cell>
          <cell r="B62" t="str">
            <v>BB- </v>
          </cell>
          <cell r="C62" t="str">
            <v>NR</v>
          </cell>
          <cell r="D62" t="str">
            <v>B1</v>
          </cell>
        </row>
        <row r="63">
          <cell r="A63" t="str">
            <v>Hong Kong</v>
          </cell>
          <cell r="B63" t="str">
            <v>AA+</v>
          </cell>
          <cell r="C63" t="str">
            <v>AA-</v>
          </cell>
          <cell r="D63" t="str">
            <v>Aa3</v>
          </cell>
        </row>
        <row r="64">
          <cell r="A64" t="str">
            <v>Hungary</v>
          </cell>
          <cell r="B64" t="str">
            <v>BBB- </v>
          </cell>
          <cell r="C64" t="str">
            <v>BBB</v>
          </cell>
          <cell r="D64" t="str">
            <v>Baa2</v>
          </cell>
        </row>
        <row r="65">
          <cell r="A65" t="str">
            <v>Iceland</v>
          </cell>
          <cell r="B65" t="str">
            <v>A+</v>
          </cell>
          <cell r="C65" t="str">
            <v>A</v>
          </cell>
          <cell r="D65" t="str">
            <v>A1</v>
          </cell>
        </row>
        <row r="66">
          <cell r="A66" t="str">
            <v>India</v>
          </cell>
          <cell r="B66" t="str">
            <v>BBB- </v>
          </cell>
          <cell r="C66" t="str">
            <v>BBB-</v>
          </cell>
          <cell r="D66" t="str">
            <v>Baa3</v>
          </cell>
        </row>
        <row r="67">
          <cell r="A67" t="str">
            <v>Indonesia</v>
          </cell>
          <cell r="B67" t="str">
            <v>BBB</v>
          </cell>
          <cell r="C67" t="str">
            <v>BBB</v>
          </cell>
          <cell r="D67" t="str">
            <v>Baa2</v>
          </cell>
        </row>
        <row r="68">
          <cell r="A68" t="str">
            <v>Iraq</v>
          </cell>
          <cell r="B68" t="str">
            <v>B-</v>
          </cell>
          <cell r="C68" t="str">
            <v>B-</v>
          </cell>
          <cell r="D68" t="str">
            <v>Caa1</v>
          </cell>
        </row>
        <row r="69">
          <cell r="A69" t="str">
            <v>Ireland</v>
          </cell>
          <cell r="B69" t="str">
            <v>AA </v>
          </cell>
          <cell r="C69" t="str">
            <v>AA-</v>
          </cell>
          <cell r="D69" t="str">
            <v>Aa3</v>
          </cell>
        </row>
        <row r="70">
          <cell r="A70" t="str">
            <v>Isle of Man</v>
          </cell>
          <cell r="B70" t="e">
            <v>#N/A</v>
          </cell>
          <cell r="C70" t="e">
            <v>#N/A</v>
          </cell>
          <cell r="D70" t="str">
            <v>Aa3</v>
          </cell>
        </row>
        <row r="71">
          <cell r="A71" t="str">
            <v>Israel</v>
          </cell>
          <cell r="B71" t="str">
            <v>A </v>
          </cell>
          <cell r="C71" t="str">
            <v>A</v>
          </cell>
          <cell r="D71" t="str">
            <v>Baa1</v>
          </cell>
        </row>
        <row r="72">
          <cell r="A72" t="str">
            <v>Italy</v>
          </cell>
          <cell r="B72" t="str">
            <v>BBB+</v>
          </cell>
          <cell r="C72" t="str">
            <v>BBB</v>
          </cell>
          <cell r="D72" t="str">
            <v>Baa3</v>
          </cell>
        </row>
        <row r="73">
          <cell r="A73" t="str">
            <v>Jamaica</v>
          </cell>
          <cell r="B73" t="str">
            <v>BB- </v>
          </cell>
          <cell r="C73" t="str">
            <v>BB-</v>
          </cell>
          <cell r="D73" t="str">
            <v>B1</v>
          </cell>
        </row>
        <row r="74">
          <cell r="A74" t="str">
            <v>Japan</v>
          </cell>
          <cell r="B74" t="str">
            <v>A+</v>
          </cell>
          <cell r="C74" t="str">
            <v>A</v>
          </cell>
          <cell r="D74" t="str">
            <v>A1</v>
          </cell>
        </row>
        <row r="75">
          <cell r="A75" t="str">
            <v>Jersey (States of)</v>
          </cell>
          <cell r="B75" t="str">
            <v>AA-</v>
          </cell>
          <cell r="C75" t="e">
            <v>#N/A</v>
          </cell>
          <cell r="D75" t="str">
            <v>Aa3</v>
          </cell>
        </row>
        <row r="76">
          <cell r="A76" t="str">
            <v>Jordan</v>
          </cell>
          <cell r="B76" t="str">
            <v>BB-</v>
          </cell>
          <cell r="C76" t="str">
            <v>BB-</v>
          </cell>
          <cell r="D76" t="str">
            <v>Ba3</v>
          </cell>
        </row>
        <row r="77">
          <cell r="A77" t="str">
            <v>Kazakhstan</v>
          </cell>
          <cell r="B77" t="str">
            <v>BBB-</v>
          </cell>
          <cell r="C77" t="str">
            <v>BBB</v>
          </cell>
          <cell r="D77" t="str">
            <v>Baa1</v>
          </cell>
        </row>
        <row r="78">
          <cell r="A78" t="str">
            <v>Kenya</v>
          </cell>
          <cell r="B78" t="str">
            <v>B-</v>
          </cell>
          <cell r="C78" t="str">
            <v>B-</v>
          </cell>
          <cell r="D78" t="str">
            <v>Caa1</v>
          </cell>
        </row>
        <row r="79">
          <cell r="A79" t="str">
            <v>Korea</v>
          </cell>
          <cell r="B79" t="e">
            <v>#N/A</v>
          </cell>
          <cell r="C79" t="e">
            <v>#N/A</v>
          </cell>
          <cell r="D79" t="str">
            <v>Aa2</v>
          </cell>
        </row>
        <row r="80">
          <cell r="A80" t="str">
            <v>Kuwait</v>
          </cell>
          <cell r="B80" t="str">
            <v>A+</v>
          </cell>
          <cell r="C80" t="str">
            <v>AA-</v>
          </cell>
          <cell r="D80" t="str">
            <v>A1</v>
          </cell>
        </row>
        <row r="81">
          <cell r="A81" t="str">
            <v>Kyrgyzstan</v>
          </cell>
          <cell r="B81" t="e">
            <v>#N/A</v>
          </cell>
          <cell r="C81" t="e">
            <v>#N/A</v>
          </cell>
          <cell r="D81" t="str">
            <v>B3</v>
          </cell>
        </row>
        <row r="82">
          <cell r="A82" t="str">
            <v>Laos</v>
          </cell>
          <cell r="B82" t="e">
            <v>#N/A</v>
          </cell>
          <cell r="C82" t="str">
            <v>CCC-</v>
          </cell>
          <cell r="D82" t="str">
            <v>Caa3</v>
          </cell>
        </row>
        <row r="83">
          <cell r="A83" t="str">
            <v>Latvia</v>
          </cell>
          <cell r="B83" t="str">
            <v>A</v>
          </cell>
          <cell r="C83" t="str">
            <v>A-</v>
          </cell>
          <cell r="D83" t="str">
            <v>A3</v>
          </cell>
        </row>
        <row r="84">
          <cell r="A84" t="str">
            <v>Lebanon</v>
          </cell>
          <cell r="B84" t="str">
            <v>D</v>
          </cell>
          <cell r="C84" t="str">
            <v>NR</v>
          </cell>
          <cell r="D84" t="str">
            <v>C</v>
          </cell>
        </row>
        <row r="85">
          <cell r="A85" t="str">
            <v>Liechtenstein</v>
          </cell>
          <cell r="B85" t="str">
            <v>AAA</v>
          </cell>
          <cell r="C85" t="str">
            <v>NR</v>
          </cell>
          <cell r="D85" t="str">
            <v>Aaa</v>
          </cell>
        </row>
        <row r="86">
          <cell r="A86" t="str">
            <v>Lithuania</v>
          </cell>
          <cell r="B86" t="str">
            <v>A</v>
          </cell>
          <cell r="C86" t="str">
            <v>A</v>
          </cell>
          <cell r="D86" t="str">
            <v>A2</v>
          </cell>
        </row>
        <row r="87">
          <cell r="A87" t="str">
            <v>Luxembourg</v>
          </cell>
          <cell r="B87" t="str">
            <v>AAA</v>
          </cell>
          <cell r="C87" t="str">
            <v>AAA</v>
          </cell>
          <cell r="D87" t="str">
            <v>Aaa</v>
          </cell>
        </row>
        <row r="88">
          <cell r="A88" t="str">
            <v>Macao</v>
          </cell>
          <cell r="B88" t="e">
            <v>#N/A</v>
          </cell>
          <cell r="C88" t="e">
            <v>#N/A</v>
          </cell>
          <cell r="D88" t="str">
            <v>Aa3</v>
          </cell>
        </row>
        <row r="89">
          <cell r="A89" t="str">
            <v>Macedonia</v>
          </cell>
          <cell r="B89" t="str">
            <v>BB-</v>
          </cell>
          <cell r="C89" t="e">
            <v>#N/A</v>
          </cell>
          <cell r="D89" t="str">
            <v>Ba3</v>
          </cell>
        </row>
        <row r="90">
          <cell r="A90" t="str">
            <v>Malaysia</v>
          </cell>
          <cell r="B90" t="str">
            <v>A-</v>
          </cell>
          <cell r="C90" t="str">
            <v>BBB+</v>
          </cell>
          <cell r="D90" t="str">
            <v>A3</v>
          </cell>
        </row>
        <row r="91">
          <cell r="A91" t="str">
            <v>Maldives</v>
          </cell>
          <cell r="B91" t="e">
            <v>#N/A</v>
          </cell>
          <cell r="C91" t="str">
            <v>CC</v>
          </cell>
          <cell r="D91" t="str">
            <v>Caa2</v>
          </cell>
        </row>
        <row r="92">
          <cell r="A92" t="str">
            <v>Mali</v>
          </cell>
          <cell r="B92" t="e">
            <v>#N/A</v>
          </cell>
          <cell r="C92" t="str">
            <v>NR</v>
          </cell>
          <cell r="D92" t="str">
            <v>Caa2</v>
          </cell>
        </row>
        <row r="93">
          <cell r="A93" t="str">
            <v>Malta</v>
          </cell>
          <cell r="B93" t="str">
            <v>A-</v>
          </cell>
          <cell r="C93" t="str">
            <v>A+</v>
          </cell>
          <cell r="D93" t="str">
            <v>A2</v>
          </cell>
        </row>
        <row r="94">
          <cell r="A94" t="str">
            <v>Mauritius</v>
          </cell>
          <cell r="B94" t="str">
            <v>BBB-</v>
          </cell>
          <cell r="C94" t="str">
            <v>NR</v>
          </cell>
          <cell r="D94" t="str">
            <v>Baa3</v>
          </cell>
        </row>
        <row r="95">
          <cell r="A95" t="str">
            <v>Mexico</v>
          </cell>
          <cell r="B95" t="str">
            <v>BBB</v>
          </cell>
          <cell r="C95" t="str">
            <v>BBB-</v>
          </cell>
          <cell r="D95" t="str">
            <v>Baa2</v>
          </cell>
        </row>
        <row r="96">
          <cell r="A96" t="str">
            <v>Moldova</v>
          </cell>
          <cell r="B96" t="e">
            <v>#N/A</v>
          </cell>
          <cell r="C96" t="str">
            <v>B+</v>
          </cell>
          <cell r="D96" t="str">
            <v>B3</v>
          </cell>
        </row>
        <row r="97">
          <cell r="A97" t="str">
            <v>Mongolia</v>
          </cell>
          <cell r="B97" t="str">
            <v>B+ </v>
          </cell>
          <cell r="C97" t="str">
            <v>B+</v>
          </cell>
          <cell r="D97" t="str">
            <v>B2</v>
          </cell>
        </row>
        <row r="98">
          <cell r="A98" t="str">
            <v>Montenegro</v>
          </cell>
          <cell r="B98" t="str">
            <v>B+</v>
          </cell>
          <cell r="C98" t="str">
            <v>NR</v>
          </cell>
          <cell r="D98" t="str">
            <v>B1</v>
          </cell>
        </row>
        <row r="99">
          <cell r="A99" t="str">
            <v>Montserrat</v>
          </cell>
          <cell r="B99" t="str">
            <v>BBB-</v>
          </cell>
          <cell r="C99" t="e">
            <v>#N/A</v>
          </cell>
          <cell r="D99" t="str">
            <v>Baa3</v>
          </cell>
        </row>
        <row r="100">
          <cell r="A100" t="str">
            <v>Morocco</v>
          </cell>
          <cell r="B100" t="str">
            <v>BB+ </v>
          </cell>
          <cell r="C100" t="str">
            <v>BB+</v>
          </cell>
          <cell r="D100" t="str">
            <v>Ba1</v>
          </cell>
        </row>
        <row r="101">
          <cell r="A101" t="str">
            <v>Mozambique</v>
          </cell>
          <cell r="B101" t="str">
            <v>CCC+ </v>
          </cell>
          <cell r="C101" t="str">
            <v>CCC</v>
          </cell>
          <cell r="D101" t="str">
            <v>Caa3</v>
          </cell>
        </row>
        <row r="102">
          <cell r="A102" t="str">
            <v>Namibia</v>
          </cell>
          <cell r="B102" t="e">
            <v>#N/A</v>
          </cell>
          <cell r="C102" t="str">
            <v>BB</v>
          </cell>
          <cell r="D102" t="str">
            <v>B1</v>
          </cell>
        </row>
        <row r="103">
          <cell r="A103" t="str">
            <v>Nepal</v>
          </cell>
          <cell r="B103" t="e">
            <v>#N/A</v>
          </cell>
          <cell r="C103" t="str">
            <v>BB-</v>
          </cell>
          <cell r="D103" t="str">
            <v>Ba3</v>
          </cell>
        </row>
        <row r="104">
          <cell r="A104" t="str">
            <v>Netherlands</v>
          </cell>
          <cell r="B104" t="str">
            <v>AAA</v>
          </cell>
          <cell r="C104" t="str">
            <v>AAA</v>
          </cell>
          <cell r="D104" t="str">
            <v>Aaa</v>
          </cell>
        </row>
        <row r="105">
          <cell r="A105" t="str">
            <v>New Zealand</v>
          </cell>
          <cell r="B105" t="str">
            <v>AA+</v>
          </cell>
          <cell r="C105" t="str">
            <v>AA+</v>
          </cell>
          <cell r="D105" t="str">
            <v>Aaa</v>
          </cell>
        </row>
        <row r="106">
          <cell r="A106" t="str">
            <v>Nicaragua</v>
          </cell>
          <cell r="B106" t="str">
            <v>B+</v>
          </cell>
          <cell r="C106" t="str">
            <v>B</v>
          </cell>
          <cell r="D106" t="str">
            <v>B2</v>
          </cell>
        </row>
        <row r="107">
          <cell r="A107" t="str">
            <v>Niger</v>
          </cell>
          <cell r="B107" t="e">
            <v>#N/A</v>
          </cell>
          <cell r="C107" t="str">
            <v>NR</v>
          </cell>
          <cell r="D107" t="str">
            <v>Caa3</v>
          </cell>
        </row>
        <row r="108">
          <cell r="A108" t="str">
            <v>Nigeria</v>
          </cell>
          <cell r="B108" t="str">
            <v>B-</v>
          </cell>
          <cell r="C108" t="str">
            <v>B-</v>
          </cell>
          <cell r="D108" t="str">
            <v>B3</v>
          </cell>
        </row>
        <row r="109">
          <cell r="A109" t="str">
            <v>Norway</v>
          </cell>
          <cell r="B109" t="e">
            <v>#N/A</v>
          </cell>
          <cell r="C109" t="str">
            <v>AAA</v>
          </cell>
          <cell r="D109" t="str">
            <v>Aaa</v>
          </cell>
        </row>
        <row r="110">
          <cell r="A110" t="str">
            <v>Oman</v>
          </cell>
          <cell r="B110" t="str">
            <v>BBB-</v>
          </cell>
          <cell r="C110" t="str">
            <v>BB+</v>
          </cell>
          <cell r="D110" t="str">
            <v>Ba1</v>
          </cell>
        </row>
        <row r="111">
          <cell r="A111" t="str">
            <v>Pakistan</v>
          </cell>
          <cell r="B111" t="str">
            <v>CCC+</v>
          </cell>
          <cell r="C111" t="str">
            <v>CCC+</v>
          </cell>
          <cell r="D111" t="str">
            <v>Caa2</v>
          </cell>
        </row>
        <row r="112">
          <cell r="A112" t="str">
            <v>Panama</v>
          </cell>
          <cell r="B112" t="str">
            <v>BBB-</v>
          </cell>
          <cell r="C112" t="str">
            <v>BB+</v>
          </cell>
          <cell r="D112" t="str">
            <v>Baa3</v>
          </cell>
        </row>
        <row r="113">
          <cell r="A113" t="str">
            <v>Papua New Guinea</v>
          </cell>
          <cell r="B113" t="str">
            <v>B-</v>
          </cell>
          <cell r="C113" t="str">
            <v>NR</v>
          </cell>
          <cell r="D113" t="str">
            <v>B2</v>
          </cell>
        </row>
        <row r="114">
          <cell r="A114" t="str">
            <v>Paraguay</v>
          </cell>
          <cell r="B114" t="str">
            <v>BB+ </v>
          </cell>
          <cell r="C114" t="str">
            <v>BB+</v>
          </cell>
          <cell r="D114" t="str">
            <v>Baa3</v>
          </cell>
        </row>
        <row r="115">
          <cell r="A115" t="str">
            <v>Peru</v>
          </cell>
          <cell r="B115" t="str">
            <v>BBB-</v>
          </cell>
          <cell r="C115" t="str">
            <v>BBB</v>
          </cell>
          <cell r="D115" t="str">
            <v>Baa1</v>
          </cell>
        </row>
        <row r="116">
          <cell r="A116" t="str">
            <v>Philippines</v>
          </cell>
          <cell r="B116" t="str">
            <v>BBB+ </v>
          </cell>
          <cell r="C116" t="str">
            <v>BBB</v>
          </cell>
          <cell r="D116" t="str">
            <v>Baa2</v>
          </cell>
        </row>
        <row r="117">
          <cell r="A117" t="str">
            <v>Poland</v>
          </cell>
          <cell r="B117" t="str">
            <v>A-</v>
          </cell>
          <cell r="C117" t="str">
            <v>A-</v>
          </cell>
          <cell r="D117" t="str">
            <v>A2</v>
          </cell>
        </row>
        <row r="118">
          <cell r="A118" t="str">
            <v>Portugal</v>
          </cell>
          <cell r="B118" t="str">
            <v>A </v>
          </cell>
          <cell r="C118" t="str">
            <v>A-</v>
          </cell>
          <cell r="D118" t="str">
            <v>A3</v>
          </cell>
        </row>
        <row r="119">
          <cell r="A119" t="str">
            <v>Qatar</v>
          </cell>
          <cell r="B119" t="str">
            <v>AA</v>
          </cell>
          <cell r="C119" t="str">
            <v>AA</v>
          </cell>
          <cell r="D119" t="str">
            <v>Aa2</v>
          </cell>
        </row>
        <row r="120">
          <cell r="A120" t="str">
            <v>Ras Al Khaimah (Emirate of)</v>
          </cell>
          <cell r="B120" t="str">
            <v>A-</v>
          </cell>
          <cell r="C120" t="e">
            <v>#N/A</v>
          </cell>
          <cell r="D120" t="str">
            <v>A3</v>
          </cell>
        </row>
        <row r="121">
          <cell r="A121" t="str">
            <v>Romania</v>
          </cell>
          <cell r="B121" t="str">
            <v>BBB- </v>
          </cell>
          <cell r="C121" t="str">
            <v>BBB-</v>
          </cell>
          <cell r="D121" t="str">
            <v>Baa3</v>
          </cell>
        </row>
        <row r="122">
          <cell r="A122" t="str">
            <v>Rwanda</v>
          </cell>
          <cell r="B122" t="str">
            <v>B+</v>
          </cell>
          <cell r="C122" t="str">
            <v>B+</v>
          </cell>
          <cell r="D122" t="str">
            <v>B2</v>
          </cell>
        </row>
        <row r="123">
          <cell r="A123" t="str">
            <v>Saudi Arabia</v>
          </cell>
          <cell r="B123" t="str">
            <v>A+</v>
          </cell>
          <cell r="C123" t="str">
            <v>A+</v>
          </cell>
          <cell r="D123" t="str">
            <v>Aa3</v>
          </cell>
        </row>
        <row r="124">
          <cell r="A124" t="str">
            <v>Senegal</v>
          </cell>
          <cell r="B124" t="str">
            <v>B </v>
          </cell>
          <cell r="C124" t="str">
            <v>NR</v>
          </cell>
          <cell r="D124" t="str">
            <v>B3</v>
          </cell>
        </row>
        <row r="125">
          <cell r="A125" t="str">
            <v>Serbia</v>
          </cell>
          <cell r="B125" t="str">
            <v>BBB-</v>
          </cell>
          <cell r="C125" t="str">
            <v>BB+</v>
          </cell>
          <cell r="D125" t="str">
            <v>Ba2</v>
          </cell>
        </row>
        <row r="126">
          <cell r="A126" t="str">
            <v>Sharjah</v>
          </cell>
          <cell r="B126" t="e">
            <v>#N/A</v>
          </cell>
          <cell r="C126" t="e">
            <v>#N/A</v>
          </cell>
          <cell r="D126" t="str">
            <v>Ba1</v>
          </cell>
        </row>
        <row r="127">
          <cell r="A127" t="str">
            <v>Singapore</v>
          </cell>
          <cell r="B127" t="e">
            <v>#N/A</v>
          </cell>
          <cell r="C127" t="str">
            <v>AAA</v>
          </cell>
          <cell r="D127" t="str">
            <v>Aaa</v>
          </cell>
        </row>
        <row r="128">
          <cell r="A128" t="str">
            <v>Slovakia</v>
          </cell>
          <cell r="B128" t="str">
            <v>A+ </v>
          </cell>
          <cell r="C128" t="str">
            <v>A</v>
          </cell>
          <cell r="D128" t="str">
            <v>A3</v>
          </cell>
        </row>
        <row r="129">
          <cell r="A129" t="str">
            <v>Slovenia</v>
          </cell>
          <cell r="B129" t="str">
            <v>AA</v>
          </cell>
          <cell r="C129" t="str">
            <v>A</v>
          </cell>
          <cell r="D129" t="str">
            <v>A3</v>
          </cell>
        </row>
        <row r="130">
          <cell r="A130" t="str">
            <v>Solomon Islands</v>
          </cell>
          <cell r="B130" t="e">
            <v>#N/A</v>
          </cell>
          <cell r="C130" t="str">
            <v>NR</v>
          </cell>
          <cell r="D130" t="str">
            <v>Caa1</v>
          </cell>
        </row>
        <row r="131">
          <cell r="A131" t="str">
            <v>South Africa</v>
          </cell>
          <cell r="B131" t="str">
            <v>BB- </v>
          </cell>
          <cell r="C131" t="str">
            <v>BB-</v>
          </cell>
          <cell r="D131" t="str">
            <v>Ba2</v>
          </cell>
        </row>
        <row r="132">
          <cell r="A132" t="str">
            <v>Spain</v>
          </cell>
          <cell r="B132" t="str">
            <v>A</v>
          </cell>
          <cell r="C132" t="str">
            <v>A-</v>
          </cell>
          <cell r="D132" t="str">
            <v>Baa1</v>
          </cell>
        </row>
        <row r="133">
          <cell r="A133" t="str">
            <v>Sri Lanka</v>
          </cell>
          <cell r="B133" t="e">
            <v>#N/A</v>
          </cell>
          <cell r="C133" t="str">
            <v>NR</v>
          </cell>
          <cell r="D133" t="str">
            <v>Ca</v>
          </cell>
        </row>
        <row r="134">
          <cell r="A134" t="str">
            <v>St. Maarten</v>
          </cell>
          <cell r="B134" t="str">
            <v>NA</v>
          </cell>
          <cell r="C134" t="e">
            <v>#N/A</v>
          </cell>
          <cell r="D134" t="str">
            <v>Ba2</v>
          </cell>
        </row>
        <row r="135">
          <cell r="A135" t="str">
            <v>St. Vincent &amp; the Grenadines</v>
          </cell>
          <cell r="B135" t="e">
            <v>#N/A</v>
          </cell>
          <cell r="C135" t="e">
            <v>#N/A</v>
          </cell>
          <cell r="D135" t="str">
            <v>B3</v>
          </cell>
        </row>
        <row r="136">
          <cell r="A136" t="str">
            <v>Suriname</v>
          </cell>
          <cell r="B136" t="str">
            <v>CCC+</v>
          </cell>
          <cell r="C136" t="str">
            <v>NR</v>
          </cell>
          <cell r="D136" t="str">
            <v>Caa1</v>
          </cell>
        </row>
        <row r="137">
          <cell r="A137" t="str">
            <v>Swaziland</v>
          </cell>
          <cell r="B137" t="e">
            <v>#N/A</v>
          </cell>
          <cell r="C137" t="e">
            <v>#N/A</v>
          </cell>
          <cell r="D137" t="str">
            <v>B2</v>
          </cell>
        </row>
        <row r="138">
          <cell r="A138" t="str">
            <v>Sweden</v>
          </cell>
          <cell r="B138" t="str">
            <v>AAA</v>
          </cell>
          <cell r="C138" t="str">
            <v>AAA</v>
          </cell>
          <cell r="D138" t="str">
            <v>Aaa</v>
          </cell>
        </row>
        <row r="139">
          <cell r="A139" t="str">
            <v>Switzerland</v>
          </cell>
          <cell r="B139" t="str">
            <v>AAA</v>
          </cell>
          <cell r="C139" t="str">
            <v>AAA</v>
          </cell>
          <cell r="D139" t="str">
            <v>Aaa</v>
          </cell>
        </row>
        <row r="140">
          <cell r="A140" t="str">
            <v>Taiwan</v>
          </cell>
          <cell r="B140" t="str">
            <v>AA+</v>
          </cell>
          <cell r="C140" t="str">
            <v>AA</v>
          </cell>
          <cell r="D140" t="str">
            <v>Aa3</v>
          </cell>
        </row>
        <row r="141">
          <cell r="A141" t="str">
            <v>Tajikistan</v>
          </cell>
          <cell r="B141" t="str">
            <v>B</v>
          </cell>
          <cell r="C141" t="str">
            <v>NR</v>
          </cell>
          <cell r="D141" t="str">
            <v>B3</v>
          </cell>
        </row>
        <row r="142">
          <cell r="A142" t="str">
            <v>Tanzania</v>
          </cell>
          <cell r="B142" t="e">
            <v>#N/A</v>
          </cell>
          <cell r="C142" t="str">
            <v>B+</v>
          </cell>
          <cell r="D142" t="str">
            <v>B1</v>
          </cell>
        </row>
        <row r="143">
          <cell r="A143" t="str">
            <v>Thailand</v>
          </cell>
          <cell r="B143" t="str">
            <v>BBB+</v>
          </cell>
          <cell r="C143" t="str">
            <v>BBB+</v>
          </cell>
          <cell r="D143" t="str">
            <v>Baa1</v>
          </cell>
        </row>
        <row r="144">
          <cell r="A144" t="str">
            <v>Togo</v>
          </cell>
          <cell r="B144" t="str">
            <v>B+</v>
          </cell>
          <cell r="C144" t="str">
            <v>NR</v>
          </cell>
          <cell r="D144" t="str">
            <v>B3</v>
          </cell>
        </row>
        <row r="145">
          <cell r="A145" t="str">
            <v>Trinidad and Tobago</v>
          </cell>
          <cell r="B145" t="str">
            <v>BBB-</v>
          </cell>
          <cell r="C145" t="str">
            <v>NR</v>
          </cell>
          <cell r="D145" t="str">
            <v>Ba2</v>
          </cell>
        </row>
        <row r="146">
          <cell r="A146" t="str">
            <v>Tunisia</v>
          </cell>
          <cell r="B146" t="e">
            <v>#N/A</v>
          </cell>
          <cell r="C146" t="str">
            <v>CCC+</v>
          </cell>
          <cell r="D146" t="str">
            <v>Caa1</v>
          </cell>
        </row>
        <row r="147">
          <cell r="A147" t="str">
            <v>Turkey</v>
          </cell>
          <cell r="B147" t="str">
            <v>BB-</v>
          </cell>
          <cell r="C147" t="str">
            <v>B+</v>
          </cell>
          <cell r="D147" t="str">
            <v>B1</v>
          </cell>
        </row>
        <row r="148">
          <cell r="A148" t="str">
            <v>Turks and Caicos Islands</v>
          </cell>
          <cell r="B148" t="str">
            <v>BBB+</v>
          </cell>
          <cell r="C148" t="e">
            <v>#N/A</v>
          </cell>
          <cell r="D148" t="str">
            <v>Baa1</v>
          </cell>
        </row>
        <row r="149">
          <cell r="A149" t="str">
            <v>Uganda</v>
          </cell>
          <cell r="B149" t="str">
            <v>B-</v>
          </cell>
          <cell r="C149" t="str">
            <v>B</v>
          </cell>
          <cell r="D149" t="str">
            <v>B3</v>
          </cell>
        </row>
        <row r="150">
          <cell r="A150" t="str">
            <v>Ukraine</v>
          </cell>
          <cell r="B150" t="e">
            <v>#N/A</v>
          </cell>
          <cell r="C150" t="str">
            <v>NR</v>
          </cell>
          <cell r="D150" t="str">
            <v>Ca</v>
          </cell>
        </row>
        <row r="151">
          <cell r="A151" t="str">
            <v>United Arab Emirates</v>
          </cell>
          <cell r="B151" t="str">
            <v>AA</v>
          </cell>
          <cell r="C151" t="str">
            <v>AA-</v>
          </cell>
          <cell r="D151" t="str">
            <v>Aa2</v>
          </cell>
        </row>
        <row r="152">
          <cell r="A152" t="str">
            <v>United Kingdom</v>
          </cell>
          <cell r="B152" t="str">
            <v>AA</v>
          </cell>
          <cell r="C152" t="str">
            <v>AA-</v>
          </cell>
          <cell r="D152" t="str">
            <v>Aa3</v>
          </cell>
        </row>
        <row r="153">
          <cell r="A153" t="str">
            <v>United States</v>
          </cell>
          <cell r="B153" t="str">
            <v>AA+</v>
          </cell>
          <cell r="C153" t="e">
            <v>#N/A</v>
          </cell>
          <cell r="D153" t="str">
            <v>Aa1</v>
          </cell>
        </row>
        <row r="154">
          <cell r="A154" t="str">
            <v>Uruguay</v>
          </cell>
          <cell r="B154" t="str">
            <v>BBB+</v>
          </cell>
          <cell r="C154" t="str">
            <v>BBB</v>
          </cell>
          <cell r="D154" t="str">
            <v>Baa1</v>
          </cell>
        </row>
        <row r="155">
          <cell r="A155" t="str">
            <v>Uzbekistan</v>
          </cell>
          <cell r="B155" t="str">
            <v>BB- </v>
          </cell>
          <cell r="C155" t="str">
            <v>BB-</v>
          </cell>
          <cell r="D155" t="str">
            <v>Ba3</v>
          </cell>
        </row>
        <row r="156">
          <cell r="A156" t="str">
            <v>Venezuela</v>
          </cell>
          <cell r="B156" t="e">
            <v>#N/A</v>
          </cell>
          <cell r="C156" t="str">
            <v>NR</v>
          </cell>
          <cell r="D156" t="str">
            <v>C</v>
          </cell>
        </row>
        <row r="157">
          <cell r="A157" t="str">
            <v>Vietnam</v>
          </cell>
          <cell r="B157" t="str">
            <v>BB+</v>
          </cell>
          <cell r="C157" t="str">
            <v>BB+</v>
          </cell>
          <cell r="D157" t="str">
            <v>Ba2</v>
          </cell>
        </row>
        <row r="158">
          <cell r="A158" t="str">
            <v>Zambia</v>
          </cell>
          <cell r="B158" t="e">
            <v>#N/A</v>
          </cell>
          <cell r="C158" t="str">
            <v>NR</v>
          </cell>
          <cell r="D158" t="str">
            <v>Caa2</v>
          </cell>
        </row>
      </sheetData>
      <sheetData sheetId="9">
        <row r="2">
          <cell r="A2" t="str">
            <v>Abu Dhabi</v>
          </cell>
          <cell r="B2" t="str">
            <v>Middle East</v>
          </cell>
        </row>
        <row r="3">
          <cell r="A3" t="str">
            <v>Albania</v>
          </cell>
          <cell r="B3" t="str">
            <v>Eastern Europe &amp; Russia</v>
          </cell>
        </row>
        <row r="4">
          <cell r="A4" t="str">
            <v>Andorra (Principality of)</v>
          </cell>
          <cell r="B4" t="str">
            <v>Western Europe</v>
          </cell>
        </row>
        <row r="5">
          <cell r="A5" t="str">
            <v>Angola</v>
          </cell>
          <cell r="B5" t="str">
            <v>Africa</v>
          </cell>
        </row>
        <row r="6">
          <cell r="A6" t="str">
            <v>Argentina</v>
          </cell>
          <cell r="B6" t="str">
            <v>Central and South America</v>
          </cell>
        </row>
        <row r="7">
          <cell r="A7" t="str">
            <v>Armenia</v>
          </cell>
          <cell r="B7" t="str">
            <v>Eastern Europe &amp; Russia</v>
          </cell>
        </row>
        <row r="8">
          <cell r="A8" t="str">
            <v>Aruba</v>
          </cell>
          <cell r="B8" t="str">
            <v>Caribbean</v>
          </cell>
        </row>
        <row r="9">
          <cell r="A9" t="str">
            <v>Australia</v>
          </cell>
          <cell r="B9" t="str">
            <v>Australia &amp; New Zealand</v>
          </cell>
        </row>
        <row r="10">
          <cell r="A10" t="str">
            <v>Austria</v>
          </cell>
          <cell r="B10" t="str">
            <v>Western Europe</v>
          </cell>
        </row>
        <row r="11">
          <cell r="A11" t="str">
            <v>Azerbaijan</v>
          </cell>
          <cell r="B11" t="str">
            <v>Eastern Europe &amp; Russia</v>
          </cell>
        </row>
        <row r="12">
          <cell r="A12" t="str">
            <v>Bahamas</v>
          </cell>
          <cell r="B12" t="str">
            <v>Caribbean</v>
          </cell>
        </row>
        <row r="13">
          <cell r="A13" t="str">
            <v>Bahrain</v>
          </cell>
          <cell r="B13" t="str">
            <v>Middle East</v>
          </cell>
        </row>
        <row r="14">
          <cell r="A14" t="str">
            <v>Bangladesh</v>
          </cell>
          <cell r="B14" t="str">
            <v>Asia</v>
          </cell>
        </row>
        <row r="15">
          <cell r="A15" t="str">
            <v>Barbados</v>
          </cell>
          <cell r="B15" t="str">
            <v>Caribbean</v>
          </cell>
        </row>
        <row r="16">
          <cell r="A16" t="str">
            <v>Belarus</v>
          </cell>
          <cell r="B16" t="str">
            <v>Eastern Europe &amp; Russia</v>
          </cell>
        </row>
        <row r="17">
          <cell r="A17" t="str">
            <v>Belgium</v>
          </cell>
          <cell r="B17" t="str">
            <v>Western Europe</v>
          </cell>
        </row>
        <row r="18">
          <cell r="A18" t="str">
            <v>Belize</v>
          </cell>
          <cell r="B18" t="str">
            <v>Central and South America</v>
          </cell>
        </row>
        <row r="19">
          <cell r="A19" t="str">
            <v>Benin</v>
          </cell>
          <cell r="B19" t="str">
            <v>Africa</v>
          </cell>
        </row>
        <row r="20">
          <cell r="A20" t="str">
            <v>Bermuda</v>
          </cell>
          <cell r="B20" t="str">
            <v>Caribbean</v>
          </cell>
        </row>
        <row r="21">
          <cell r="A21" t="str">
            <v>Bolivia</v>
          </cell>
          <cell r="B21" t="str">
            <v>Central and South America</v>
          </cell>
        </row>
        <row r="22">
          <cell r="A22" t="str">
            <v>Bosnia and Herzegovina</v>
          </cell>
          <cell r="B22" t="str">
            <v>Eastern Europe &amp; Russia</v>
          </cell>
        </row>
        <row r="23">
          <cell r="A23" t="str">
            <v>Botswana</v>
          </cell>
          <cell r="B23" t="str">
            <v>Africa</v>
          </cell>
        </row>
        <row r="24">
          <cell r="A24" t="str">
            <v>Brazil</v>
          </cell>
          <cell r="B24" t="str">
            <v>Central and South America</v>
          </cell>
        </row>
        <row r="25">
          <cell r="A25" t="str">
            <v>Bulgaria</v>
          </cell>
          <cell r="B25" t="str">
            <v>Eastern Europe &amp; Russia</v>
          </cell>
        </row>
        <row r="26">
          <cell r="A26" t="str">
            <v>Burkina Faso</v>
          </cell>
          <cell r="B26" t="str">
            <v>Africa</v>
          </cell>
        </row>
        <row r="27">
          <cell r="A27" t="str">
            <v>Cambodia</v>
          </cell>
          <cell r="B27" t="str">
            <v>Asia</v>
          </cell>
        </row>
        <row r="28">
          <cell r="A28" t="str">
            <v>Cameroon</v>
          </cell>
          <cell r="B28" t="str">
            <v>Africa</v>
          </cell>
        </row>
        <row r="29">
          <cell r="A29" t="str">
            <v>Canada</v>
          </cell>
          <cell r="B29" t="str">
            <v>North America</v>
          </cell>
        </row>
        <row r="30">
          <cell r="A30" t="str">
            <v>Cape Verde</v>
          </cell>
          <cell r="B30" t="str">
            <v>Africa</v>
          </cell>
        </row>
        <row r="31">
          <cell r="A31" t="str">
            <v>Cayman Islands</v>
          </cell>
          <cell r="B31" t="str">
            <v>Caribbean</v>
          </cell>
        </row>
        <row r="32">
          <cell r="A32" t="str">
            <v>Chile</v>
          </cell>
          <cell r="B32" t="str">
            <v>Central and South America</v>
          </cell>
        </row>
        <row r="33">
          <cell r="A33" t="str">
            <v>China</v>
          </cell>
          <cell r="B33" t="str">
            <v>Asia</v>
          </cell>
        </row>
        <row r="34">
          <cell r="A34" t="str">
            <v>Colombia</v>
          </cell>
          <cell r="B34" t="str">
            <v>Central and South America</v>
          </cell>
        </row>
        <row r="35">
          <cell r="A35" t="str">
            <v>Congo (Democratic Republic of)</v>
          </cell>
          <cell r="B35" t="str">
            <v>Africa</v>
          </cell>
        </row>
        <row r="36">
          <cell r="A36" t="str">
            <v>Congo (Republic of)</v>
          </cell>
          <cell r="B36" t="str">
            <v>Africa</v>
          </cell>
        </row>
        <row r="37">
          <cell r="A37" t="str">
            <v>Cook Islands</v>
          </cell>
          <cell r="B37" t="str">
            <v>Australia &amp; New Zealand</v>
          </cell>
        </row>
        <row r="38">
          <cell r="A38" t="str">
            <v>Costa Rica</v>
          </cell>
          <cell r="B38" t="str">
            <v>Central and South America</v>
          </cell>
        </row>
        <row r="39">
          <cell r="A39" t="str">
            <v>Côte d'Ivoire</v>
          </cell>
          <cell r="B39" t="str">
            <v>Africa</v>
          </cell>
        </row>
        <row r="40">
          <cell r="A40" t="str">
            <v>Croatia</v>
          </cell>
          <cell r="B40" t="str">
            <v>Eastern Europe &amp; Russia</v>
          </cell>
        </row>
        <row r="41">
          <cell r="A41" t="str">
            <v>Cuba</v>
          </cell>
          <cell r="B41" t="str">
            <v>Caribbean</v>
          </cell>
        </row>
        <row r="42">
          <cell r="A42" t="str">
            <v>Curacao</v>
          </cell>
          <cell r="B42" t="str">
            <v>Caribbean</v>
          </cell>
        </row>
        <row r="43">
          <cell r="A43" t="str">
            <v>Cyprus</v>
          </cell>
          <cell r="B43" t="str">
            <v>Western Europe</v>
          </cell>
        </row>
        <row r="44">
          <cell r="A44" t="str">
            <v>Czech Republic</v>
          </cell>
          <cell r="B44" t="str">
            <v>Eastern Europe &amp; Russia</v>
          </cell>
        </row>
        <row r="45">
          <cell r="A45" t="str">
            <v>Democratic Republic of Congo</v>
          </cell>
          <cell r="B45" t="str">
            <v>Africa</v>
          </cell>
        </row>
        <row r="46">
          <cell r="A46" t="str">
            <v>Denmark</v>
          </cell>
          <cell r="B46" t="str">
            <v>Western Europe</v>
          </cell>
        </row>
        <row r="47">
          <cell r="A47" t="str">
            <v>Dominican Republic</v>
          </cell>
          <cell r="B47" t="str">
            <v>Caribbean</v>
          </cell>
        </row>
        <row r="48">
          <cell r="A48" t="str">
            <v>Ecuador</v>
          </cell>
          <cell r="B48" t="str">
            <v>Central and South America</v>
          </cell>
        </row>
        <row r="49">
          <cell r="A49" t="str">
            <v>Egypt</v>
          </cell>
          <cell r="B49" t="str">
            <v>Africa</v>
          </cell>
        </row>
        <row r="50">
          <cell r="A50" t="str">
            <v>El Salvador</v>
          </cell>
          <cell r="B50" t="str">
            <v>Central and South America</v>
          </cell>
        </row>
        <row r="51">
          <cell r="A51" t="str">
            <v>Estonia</v>
          </cell>
          <cell r="B51" t="str">
            <v>Eastern Europe &amp; Russia</v>
          </cell>
        </row>
        <row r="52">
          <cell r="A52" t="str">
            <v>Ethiopia</v>
          </cell>
          <cell r="B52" t="str">
            <v>Africa</v>
          </cell>
        </row>
        <row r="53">
          <cell r="A53" t="str">
            <v>Fiji</v>
          </cell>
          <cell r="B53" t="str">
            <v>Asia</v>
          </cell>
        </row>
        <row r="54">
          <cell r="A54" t="str">
            <v>Finland</v>
          </cell>
          <cell r="B54" t="str">
            <v>Western Europe</v>
          </cell>
        </row>
        <row r="55">
          <cell r="A55" t="str">
            <v>France</v>
          </cell>
          <cell r="B55" t="str">
            <v>Western Europe</v>
          </cell>
        </row>
        <row r="56">
          <cell r="A56" t="str">
            <v>Gabon</v>
          </cell>
          <cell r="B56" t="str">
            <v>Africa</v>
          </cell>
        </row>
        <row r="57">
          <cell r="A57" t="str">
            <v>Georgia</v>
          </cell>
          <cell r="B57" t="str">
            <v>Eastern Europe &amp; Russia</v>
          </cell>
        </row>
        <row r="58">
          <cell r="A58" t="str">
            <v>Germany</v>
          </cell>
          <cell r="B58" t="str">
            <v>Western Europe</v>
          </cell>
        </row>
        <row r="59">
          <cell r="A59" t="str">
            <v>Ghana</v>
          </cell>
          <cell r="B59" t="str">
            <v>Africa</v>
          </cell>
        </row>
        <row r="60">
          <cell r="A60" t="str">
            <v>Greece</v>
          </cell>
          <cell r="B60" t="str">
            <v>Western Europe</v>
          </cell>
        </row>
        <row r="61">
          <cell r="A61" t="str">
            <v>Guatemala</v>
          </cell>
          <cell r="B61" t="str">
            <v>Central and South America</v>
          </cell>
        </row>
        <row r="62">
          <cell r="A62" t="str">
            <v>Guernsey (States of)</v>
          </cell>
          <cell r="B62" t="str">
            <v>Western Europe</v>
          </cell>
        </row>
        <row r="63">
          <cell r="A63" t="str">
            <v>Honduras</v>
          </cell>
          <cell r="B63" t="str">
            <v>Central and South America</v>
          </cell>
        </row>
        <row r="64">
          <cell r="A64" t="str">
            <v>Hong Kong</v>
          </cell>
          <cell r="B64" t="str">
            <v>Asia</v>
          </cell>
        </row>
        <row r="65">
          <cell r="A65" t="str">
            <v>Hungary</v>
          </cell>
          <cell r="B65" t="str">
            <v>Eastern Europe &amp; Russia</v>
          </cell>
        </row>
        <row r="66">
          <cell r="A66" t="str">
            <v>Iceland</v>
          </cell>
          <cell r="B66" t="str">
            <v>Western Europe</v>
          </cell>
        </row>
        <row r="67">
          <cell r="A67" t="str">
            <v>India</v>
          </cell>
          <cell r="B67" t="str">
            <v>Asia</v>
          </cell>
        </row>
        <row r="68">
          <cell r="A68" t="str">
            <v>Indonesia</v>
          </cell>
          <cell r="B68" t="str">
            <v>Asia</v>
          </cell>
        </row>
        <row r="69">
          <cell r="A69" t="str">
            <v>Iraq</v>
          </cell>
          <cell r="B69" t="str">
            <v>Middle East</v>
          </cell>
        </row>
        <row r="70">
          <cell r="A70" t="str">
            <v>Ireland</v>
          </cell>
          <cell r="B70" t="str">
            <v>Western Europe</v>
          </cell>
        </row>
        <row r="71">
          <cell r="A71" t="str">
            <v>Isle of Man</v>
          </cell>
          <cell r="B71" t="str">
            <v>Western Europe</v>
          </cell>
        </row>
        <row r="72">
          <cell r="A72" t="str">
            <v>Israel</v>
          </cell>
          <cell r="B72" t="str">
            <v>Middle East</v>
          </cell>
        </row>
        <row r="73">
          <cell r="A73" t="str">
            <v>Italy</v>
          </cell>
          <cell r="B73" t="str">
            <v>Western Europe</v>
          </cell>
        </row>
        <row r="74">
          <cell r="A74" t="str">
            <v>Jamaica</v>
          </cell>
          <cell r="B74" t="str">
            <v>Caribbean</v>
          </cell>
        </row>
        <row r="75">
          <cell r="A75" t="str">
            <v>Japan</v>
          </cell>
          <cell r="B75" t="str">
            <v>Asia</v>
          </cell>
        </row>
        <row r="76">
          <cell r="A76" t="str">
            <v>Jersey (States of)</v>
          </cell>
          <cell r="B76" t="str">
            <v>Western Europe</v>
          </cell>
        </row>
        <row r="77">
          <cell r="A77" t="str">
            <v>Jordan</v>
          </cell>
          <cell r="B77" t="str">
            <v>Middle East</v>
          </cell>
        </row>
        <row r="78">
          <cell r="A78" t="str">
            <v>Kazakhstan</v>
          </cell>
          <cell r="B78" t="str">
            <v>Eastern Europe &amp; Russia</v>
          </cell>
        </row>
        <row r="79">
          <cell r="A79" t="str">
            <v>Kenya</v>
          </cell>
          <cell r="B79" t="str">
            <v>Africa</v>
          </cell>
        </row>
        <row r="80">
          <cell r="A80" t="str">
            <v>Korea</v>
          </cell>
          <cell r="B80" t="str">
            <v>Asia</v>
          </cell>
        </row>
        <row r="81">
          <cell r="A81" t="str">
            <v>Kuwait</v>
          </cell>
          <cell r="B81" t="str">
            <v>Middle East</v>
          </cell>
        </row>
        <row r="82">
          <cell r="A82" t="str">
            <v>Kyrgyzstan</v>
          </cell>
          <cell r="B82" t="str">
            <v>Eastern Europe &amp; Russia</v>
          </cell>
        </row>
        <row r="83">
          <cell r="A83" t="str">
            <v>Laos</v>
          </cell>
          <cell r="B83" t="str">
            <v>Asia</v>
          </cell>
        </row>
        <row r="84">
          <cell r="A84" t="str">
            <v>Latvia</v>
          </cell>
          <cell r="B84" t="str">
            <v>Eastern Europe &amp; Russia</v>
          </cell>
        </row>
        <row r="85">
          <cell r="A85" t="str">
            <v>Lebanon</v>
          </cell>
          <cell r="B85" t="str">
            <v>Middle East</v>
          </cell>
        </row>
        <row r="86">
          <cell r="A86" t="str">
            <v>Liechtenstein</v>
          </cell>
          <cell r="B86" t="str">
            <v>Western Europe</v>
          </cell>
        </row>
        <row r="87">
          <cell r="A87" t="str">
            <v>Lithuania</v>
          </cell>
          <cell r="B87" t="str">
            <v>Eastern Europe &amp; Russia</v>
          </cell>
        </row>
        <row r="88">
          <cell r="A88" t="str">
            <v>Luxembourg</v>
          </cell>
          <cell r="B88" t="str">
            <v>Western Europe</v>
          </cell>
        </row>
        <row r="89">
          <cell r="A89" t="str">
            <v>Macao</v>
          </cell>
          <cell r="B89" t="str">
            <v>Asia</v>
          </cell>
        </row>
        <row r="90">
          <cell r="A90" t="str">
            <v>Macedonia</v>
          </cell>
          <cell r="B90" t="str">
            <v>Eastern Europe &amp; Russia</v>
          </cell>
        </row>
        <row r="91">
          <cell r="A91" t="str">
            <v>Malaysia</v>
          </cell>
          <cell r="B91" t="str">
            <v>Asia</v>
          </cell>
        </row>
        <row r="92">
          <cell r="A92" t="str">
            <v>Maldives</v>
          </cell>
          <cell r="B92" t="str">
            <v>Asia</v>
          </cell>
        </row>
        <row r="93">
          <cell r="A93" t="str">
            <v>Mali</v>
          </cell>
          <cell r="B93" t="str">
            <v>Africa</v>
          </cell>
        </row>
        <row r="94">
          <cell r="A94" t="str">
            <v>Malta</v>
          </cell>
          <cell r="B94" t="str">
            <v>Western Europe</v>
          </cell>
        </row>
        <row r="95">
          <cell r="A95" t="str">
            <v>Mauritius</v>
          </cell>
          <cell r="B95" t="str">
            <v>Africa</v>
          </cell>
        </row>
        <row r="96">
          <cell r="A96" t="str">
            <v>Mexico</v>
          </cell>
          <cell r="B96" t="str">
            <v>Central and South America</v>
          </cell>
        </row>
        <row r="97">
          <cell r="A97" t="str">
            <v>Moldova</v>
          </cell>
          <cell r="B97" t="str">
            <v>Eastern Europe &amp; Russia</v>
          </cell>
        </row>
        <row r="98">
          <cell r="A98" t="str">
            <v>Mongolia</v>
          </cell>
          <cell r="B98" t="str">
            <v>Asia</v>
          </cell>
        </row>
        <row r="99">
          <cell r="A99" t="str">
            <v>Montenegro</v>
          </cell>
          <cell r="B99" t="str">
            <v>Eastern Europe &amp; Russia</v>
          </cell>
        </row>
        <row r="100">
          <cell r="A100" t="str">
            <v>Montserrat</v>
          </cell>
          <cell r="B100" t="str">
            <v>Caribbean</v>
          </cell>
        </row>
        <row r="101">
          <cell r="A101" t="str">
            <v>Morocco</v>
          </cell>
          <cell r="B101" t="str">
            <v>Africa</v>
          </cell>
        </row>
        <row r="102">
          <cell r="A102" t="str">
            <v>Mozambique</v>
          </cell>
          <cell r="B102" t="str">
            <v>Africa</v>
          </cell>
        </row>
        <row r="103">
          <cell r="A103" t="str">
            <v>Namibia</v>
          </cell>
          <cell r="B103" t="str">
            <v>Africa</v>
          </cell>
        </row>
        <row r="104">
          <cell r="A104" t="str">
            <v>Nepal</v>
          </cell>
          <cell r="B104" t="str">
            <v>Asia</v>
          </cell>
        </row>
        <row r="105">
          <cell r="A105" t="str">
            <v>Netherlands</v>
          </cell>
          <cell r="B105" t="str">
            <v>Western Europe</v>
          </cell>
        </row>
        <row r="106">
          <cell r="A106" t="str">
            <v>New Zealand</v>
          </cell>
          <cell r="B106" t="str">
            <v>Australia &amp; New Zealand</v>
          </cell>
        </row>
        <row r="107">
          <cell r="A107" t="str">
            <v>Nicaragua</v>
          </cell>
          <cell r="B107" t="str">
            <v>Central and South America</v>
          </cell>
        </row>
        <row r="108">
          <cell r="A108" t="str">
            <v>Niger</v>
          </cell>
          <cell r="B108" t="str">
            <v>Africa</v>
          </cell>
        </row>
        <row r="109">
          <cell r="A109" t="str">
            <v>Nigeria</v>
          </cell>
          <cell r="B109" t="str">
            <v>Africa</v>
          </cell>
        </row>
        <row r="110">
          <cell r="A110" t="str">
            <v>Norway</v>
          </cell>
          <cell r="B110" t="str">
            <v>Western Europe</v>
          </cell>
        </row>
        <row r="111">
          <cell r="A111" t="str">
            <v>Oman</v>
          </cell>
          <cell r="B111" t="str">
            <v>Middle East</v>
          </cell>
        </row>
        <row r="112">
          <cell r="A112" t="str">
            <v>Pakistan</v>
          </cell>
          <cell r="B112" t="str">
            <v>Asia</v>
          </cell>
        </row>
        <row r="113">
          <cell r="A113" t="str">
            <v>Panama</v>
          </cell>
          <cell r="B113" t="str">
            <v>Central and South America</v>
          </cell>
        </row>
        <row r="114">
          <cell r="A114" t="str">
            <v>Papua New Guinea</v>
          </cell>
          <cell r="B114" t="str">
            <v>Asia</v>
          </cell>
        </row>
        <row r="115">
          <cell r="A115" t="str">
            <v>Paraguay</v>
          </cell>
          <cell r="B115" t="str">
            <v>Central and South America</v>
          </cell>
        </row>
        <row r="116">
          <cell r="A116" t="str">
            <v>Peru</v>
          </cell>
          <cell r="B116" t="str">
            <v>Central and South America</v>
          </cell>
        </row>
        <row r="117">
          <cell r="A117" t="str">
            <v>Philippines</v>
          </cell>
          <cell r="B117" t="str">
            <v>Asia</v>
          </cell>
        </row>
        <row r="118">
          <cell r="A118" t="str">
            <v>Poland</v>
          </cell>
          <cell r="B118" t="str">
            <v>Eastern Europe &amp; Russia</v>
          </cell>
        </row>
        <row r="119">
          <cell r="A119" t="str">
            <v>Portugal</v>
          </cell>
          <cell r="B119" t="str">
            <v>Western Europe</v>
          </cell>
        </row>
        <row r="120">
          <cell r="A120" t="str">
            <v>Qatar</v>
          </cell>
          <cell r="B120" t="str">
            <v>Middle East</v>
          </cell>
        </row>
        <row r="121">
          <cell r="A121" t="str">
            <v>Ras Al Khaimah (Emirate of)</v>
          </cell>
          <cell r="B121" t="str">
            <v>Middle East</v>
          </cell>
        </row>
        <row r="122">
          <cell r="A122" t="str">
            <v>Republic of the Congo</v>
          </cell>
          <cell r="B122" t="str">
            <v>Africa</v>
          </cell>
        </row>
        <row r="123">
          <cell r="A123" t="str">
            <v>Romania</v>
          </cell>
          <cell r="B123" t="str">
            <v>Eastern Europe &amp; Russia</v>
          </cell>
        </row>
        <row r="124">
          <cell r="A124" t="str">
            <v>Russia</v>
          </cell>
          <cell r="B124" t="str">
            <v>Eastern Europe &amp; Russia</v>
          </cell>
        </row>
        <row r="125">
          <cell r="A125" t="str">
            <v>Rwanda</v>
          </cell>
          <cell r="B125" t="str">
            <v>Africa</v>
          </cell>
        </row>
        <row r="126">
          <cell r="A126" t="str">
            <v>Saudi Arabia</v>
          </cell>
          <cell r="B126" t="str">
            <v>Middle East</v>
          </cell>
        </row>
        <row r="127">
          <cell r="A127" t="str">
            <v>Senegal</v>
          </cell>
          <cell r="B127" t="str">
            <v>Africa</v>
          </cell>
        </row>
        <row r="128">
          <cell r="A128" t="str">
            <v>Serbia</v>
          </cell>
          <cell r="B128" t="str">
            <v>Eastern Europe &amp; Russia</v>
          </cell>
        </row>
        <row r="129">
          <cell r="A129" t="str">
            <v>Sharjah</v>
          </cell>
          <cell r="B129" t="str">
            <v>Middle East</v>
          </cell>
        </row>
        <row r="130">
          <cell r="A130" t="str">
            <v>Singapore</v>
          </cell>
          <cell r="B130" t="str">
            <v>Asia</v>
          </cell>
        </row>
        <row r="131">
          <cell r="A131" t="str">
            <v>Slovakia</v>
          </cell>
          <cell r="B131" t="str">
            <v>Eastern Europe &amp; Russia</v>
          </cell>
        </row>
        <row r="132">
          <cell r="A132" t="str">
            <v>Slovenia</v>
          </cell>
          <cell r="B132" t="str">
            <v>Eastern Europe &amp; Russia</v>
          </cell>
        </row>
        <row r="133">
          <cell r="A133" t="str">
            <v>Solomon Islands</v>
          </cell>
          <cell r="B133" t="str">
            <v>Asia</v>
          </cell>
        </row>
        <row r="134">
          <cell r="A134" t="str">
            <v>South Africa</v>
          </cell>
          <cell r="B134" t="str">
            <v>Africa</v>
          </cell>
        </row>
        <row r="135">
          <cell r="A135" t="str">
            <v>Spain</v>
          </cell>
          <cell r="B135" t="str">
            <v>Western Europe</v>
          </cell>
        </row>
        <row r="136">
          <cell r="A136" t="str">
            <v>Sri Lanka</v>
          </cell>
          <cell r="B136" t="str">
            <v>Asia</v>
          </cell>
        </row>
        <row r="137">
          <cell r="A137" t="str">
            <v>St. Maarten</v>
          </cell>
          <cell r="B137" t="str">
            <v>Caribbean</v>
          </cell>
        </row>
        <row r="138">
          <cell r="A138" t="str">
            <v>St. Vincent &amp; the Grenadines</v>
          </cell>
          <cell r="B138" t="str">
            <v>Caribbean</v>
          </cell>
        </row>
        <row r="139">
          <cell r="A139" t="str">
            <v>Suriname</v>
          </cell>
          <cell r="B139" t="str">
            <v>Central and South America</v>
          </cell>
        </row>
        <row r="140">
          <cell r="A140" t="str">
            <v>Swaziland</v>
          </cell>
          <cell r="B140" t="str">
            <v>Africa</v>
          </cell>
        </row>
        <row r="141">
          <cell r="A141" t="str">
            <v>Sweden</v>
          </cell>
          <cell r="B141" t="str">
            <v>Western Europe</v>
          </cell>
        </row>
        <row r="142">
          <cell r="A142" t="str">
            <v>Switzerland</v>
          </cell>
          <cell r="B142" t="str">
            <v>Western Europe</v>
          </cell>
        </row>
        <row r="143">
          <cell r="A143" t="str">
            <v>Taiwan</v>
          </cell>
          <cell r="B143" t="str">
            <v>Asia</v>
          </cell>
        </row>
        <row r="144">
          <cell r="A144" t="str">
            <v>Tajikistan</v>
          </cell>
          <cell r="B144" t="str">
            <v>Eastern Europe &amp; Russia</v>
          </cell>
        </row>
        <row r="145">
          <cell r="A145" t="str">
            <v>Tanzania</v>
          </cell>
          <cell r="B145" t="str">
            <v>Africa</v>
          </cell>
        </row>
        <row r="146">
          <cell r="A146" t="str">
            <v>Thailand</v>
          </cell>
          <cell r="B146" t="str">
            <v>Asia</v>
          </cell>
        </row>
        <row r="147">
          <cell r="A147" t="str">
            <v>Togo</v>
          </cell>
          <cell r="B147" t="str">
            <v>Africa</v>
          </cell>
        </row>
        <row r="148">
          <cell r="A148" t="str">
            <v>Trinidad and Tobago</v>
          </cell>
          <cell r="B148" t="str">
            <v>Caribbean</v>
          </cell>
        </row>
        <row r="149">
          <cell r="A149" t="str">
            <v>Tunisia</v>
          </cell>
          <cell r="B149" t="str">
            <v>Africa</v>
          </cell>
        </row>
        <row r="150">
          <cell r="A150" t="str">
            <v>Turkey</v>
          </cell>
          <cell r="B150" t="str">
            <v>Western Europe</v>
          </cell>
        </row>
        <row r="151">
          <cell r="A151" t="str">
            <v>Turkmenistan</v>
          </cell>
          <cell r="B151" t="str">
            <v>Eastern Europe &amp; Russia</v>
          </cell>
        </row>
        <row r="152">
          <cell r="A152" t="str">
            <v>Turks and Caicos Islands</v>
          </cell>
          <cell r="B152" t="str">
            <v>Caribbean</v>
          </cell>
        </row>
        <row r="153">
          <cell r="A153" t="str">
            <v>Uganda</v>
          </cell>
          <cell r="B153" t="str">
            <v>Africa</v>
          </cell>
        </row>
        <row r="154">
          <cell r="A154" t="str">
            <v>Ukraine</v>
          </cell>
          <cell r="B154" t="str">
            <v>Eastern Europe &amp; Russia</v>
          </cell>
        </row>
        <row r="155">
          <cell r="A155" t="str">
            <v>United Arab Emirates</v>
          </cell>
          <cell r="B155" t="str">
            <v>Middle East</v>
          </cell>
        </row>
        <row r="156">
          <cell r="A156" t="str">
            <v>United Kingdom</v>
          </cell>
          <cell r="B156" t="str">
            <v>Western Europe</v>
          </cell>
        </row>
        <row r="157">
          <cell r="A157" t="str">
            <v>United States</v>
          </cell>
          <cell r="B157" t="str">
            <v>North America</v>
          </cell>
        </row>
        <row r="158">
          <cell r="A158" t="str">
            <v>Uruguay</v>
          </cell>
          <cell r="B158" t="str">
            <v>Central and South America</v>
          </cell>
        </row>
        <row r="159">
          <cell r="A159" t="str">
            <v>Uzbekistan</v>
          </cell>
          <cell r="B159" t="str">
            <v>Eastern Europe &amp; Russia</v>
          </cell>
        </row>
        <row r="160">
          <cell r="A160" t="str">
            <v>Venezuela</v>
          </cell>
          <cell r="B160" t="str">
            <v>Central and South America</v>
          </cell>
        </row>
        <row r="161">
          <cell r="A161" t="str">
            <v>Vietnam</v>
          </cell>
          <cell r="B161" t="str">
            <v>Asia</v>
          </cell>
        </row>
        <row r="162">
          <cell r="A162" t="str">
            <v>Zambia</v>
          </cell>
          <cell r="B162" t="str">
            <v>Africa</v>
          </cell>
        </row>
      </sheetData>
      <sheetData sheetId="10">
        <row r="2">
          <cell r="C2">
            <v>69.336443543663336</v>
          </cell>
        </row>
        <row r="3">
          <cell r="C3">
            <v>83.20373225239598</v>
          </cell>
        </row>
        <row r="4">
          <cell r="C4">
            <v>117.87195402422765</v>
          </cell>
        </row>
        <row r="5">
          <cell r="C5">
            <v>27</v>
          </cell>
        </row>
        <row r="6">
          <cell r="C6">
            <v>48.535510480564319</v>
          </cell>
        </row>
        <row r="7">
          <cell r="C7">
            <v>58.935977012113824</v>
          </cell>
        </row>
        <row r="8">
          <cell r="C8">
            <v>0</v>
          </cell>
        </row>
        <row r="9">
          <cell r="C9">
            <v>442.59763128705077</v>
          </cell>
        </row>
        <row r="10">
          <cell r="C10">
            <v>540.82425964057381</v>
          </cell>
        </row>
        <row r="11">
          <cell r="C11">
            <v>639.0508879940968</v>
          </cell>
        </row>
        <row r="12">
          <cell r="C12">
            <v>246.14437458000481</v>
          </cell>
        </row>
        <row r="13">
          <cell r="C13">
            <v>295.83549245296348</v>
          </cell>
        </row>
        <row r="14">
          <cell r="C14">
            <v>353.61586207268289</v>
          </cell>
        </row>
        <row r="15">
          <cell r="C15">
            <v>157.16260536563684</v>
          </cell>
        </row>
        <row r="16">
          <cell r="C16">
            <v>187.20839756789098</v>
          </cell>
        </row>
        <row r="17">
          <cell r="C17">
            <v>216.09858237775069</v>
          </cell>
        </row>
        <row r="18">
          <cell r="C18">
            <v>1179.8751476346708</v>
          </cell>
        </row>
        <row r="19">
          <cell r="C19">
            <v>737.27751634761989</v>
          </cell>
        </row>
        <row r="20">
          <cell r="C20">
            <v>885.19526257410155</v>
          </cell>
        </row>
        <row r="21">
          <cell r="C21">
            <v>983.42189092762476</v>
          </cell>
        </row>
      </sheetData>
      <sheetData sheetId="11">
        <row r="2">
          <cell r="A2" t="str">
            <v>Abu Dhabi</v>
          </cell>
          <cell r="B2" t="str">
            <v>Aa2</v>
          </cell>
          <cell r="C2">
            <v>6.7999999999999996E-3</v>
          </cell>
          <cell r="D2">
            <v>5.0999999999999995E-3</v>
          </cell>
        </row>
        <row r="3">
          <cell r="A3" t="str">
            <v>Albania</v>
          </cell>
          <cell r="B3" t="str">
            <v>Ba3</v>
          </cell>
          <cell r="C3" t="str">
            <v>NA</v>
          </cell>
          <cell r="D3" t="str">
            <v>NA</v>
          </cell>
        </row>
        <row r="4">
          <cell r="A4" t="str">
            <v>Andorra (Principality of)</v>
          </cell>
          <cell r="B4" t="str">
            <v>Baa1</v>
          </cell>
          <cell r="C4" t="str">
            <v>NA</v>
          </cell>
          <cell r="D4" t="str">
            <v>NA</v>
          </cell>
        </row>
        <row r="5">
          <cell r="A5" t="str">
            <v>Angola</v>
          </cell>
          <cell r="B5" t="str">
            <v>B3</v>
          </cell>
          <cell r="C5">
            <v>7.1599999999999997E-2</v>
          </cell>
          <cell r="D5">
            <v>6.9900000000000004E-2</v>
          </cell>
        </row>
        <row r="6">
          <cell r="A6" t="str">
            <v>Argentina</v>
          </cell>
          <cell r="B6" t="str">
            <v>Caa3</v>
          </cell>
          <cell r="C6" t="str">
            <v>NA</v>
          </cell>
          <cell r="D6" t="str">
            <v>NA</v>
          </cell>
        </row>
        <row r="7">
          <cell r="A7" t="str">
            <v>Armenia</v>
          </cell>
          <cell r="B7" t="str">
            <v>Ba3</v>
          </cell>
          <cell r="C7" t="str">
            <v>NA</v>
          </cell>
          <cell r="D7" t="str">
            <v>NA</v>
          </cell>
        </row>
        <row r="8">
          <cell r="A8" t="str">
            <v>Aruba</v>
          </cell>
          <cell r="B8" t="str">
            <v>Baa3</v>
          </cell>
          <cell r="C8" t="str">
            <v>NA</v>
          </cell>
          <cell r="D8" t="str">
            <v>NA</v>
          </cell>
        </row>
        <row r="9">
          <cell r="A9" t="str">
            <v>Australia</v>
          </cell>
          <cell r="B9" t="str">
            <v>Aaa</v>
          </cell>
          <cell r="C9">
            <v>1.8E-3</v>
          </cell>
          <cell r="D9">
            <v>1.0000000000000005E-4</v>
          </cell>
        </row>
        <row r="10">
          <cell r="A10" t="str">
            <v>Austria</v>
          </cell>
          <cell r="B10" t="str">
            <v>Aa1</v>
          </cell>
          <cell r="C10">
            <v>3.2000000000000002E-3</v>
          </cell>
          <cell r="D10">
            <v>1.5000000000000002E-3</v>
          </cell>
        </row>
        <row r="11">
          <cell r="A11" t="str">
            <v>Azerbaijan</v>
          </cell>
          <cell r="B11" t="str">
            <v>Baa3</v>
          </cell>
          <cell r="C11" t="str">
            <v>NA</v>
          </cell>
          <cell r="D11" t="str">
            <v>NA</v>
          </cell>
        </row>
        <row r="12">
          <cell r="A12" t="str">
            <v>Bahamas</v>
          </cell>
          <cell r="B12" t="str">
            <v>B1</v>
          </cell>
          <cell r="C12" t="str">
            <v>NA</v>
          </cell>
          <cell r="D12" t="str">
            <v>NA</v>
          </cell>
        </row>
        <row r="13">
          <cell r="A13" t="str">
            <v>Bahrain</v>
          </cell>
          <cell r="B13" t="str">
            <v>B2</v>
          </cell>
          <cell r="C13">
            <v>2.7900000000000001E-2</v>
          </cell>
          <cell r="D13">
            <v>2.6200000000000001E-2</v>
          </cell>
        </row>
        <row r="14">
          <cell r="A14" t="str">
            <v>Bangladesh</v>
          </cell>
          <cell r="B14" t="str">
            <v>B2</v>
          </cell>
          <cell r="C14" t="str">
            <v>NA</v>
          </cell>
          <cell r="D14" t="str">
            <v>NA</v>
          </cell>
        </row>
        <row r="15">
          <cell r="A15" t="str">
            <v>Barbados</v>
          </cell>
          <cell r="B15" t="str">
            <v>B2</v>
          </cell>
          <cell r="C15" t="str">
            <v>NA</v>
          </cell>
          <cell r="D15" t="str">
            <v>NA</v>
          </cell>
        </row>
        <row r="16">
          <cell r="A16" t="str">
            <v>Belarus</v>
          </cell>
          <cell r="B16" t="str">
            <v>C</v>
          </cell>
          <cell r="C16" t="str">
            <v>NA</v>
          </cell>
          <cell r="D16" t="str">
            <v>NA</v>
          </cell>
        </row>
        <row r="17">
          <cell r="A17" t="str">
            <v>Belgium</v>
          </cell>
          <cell r="B17" t="str">
            <v>Aa3</v>
          </cell>
          <cell r="C17">
            <v>5.0000000000000001E-3</v>
          </cell>
          <cell r="D17">
            <v>3.3E-3</v>
          </cell>
        </row>
        <row r="18">
          <cell r="A18" t="str">
            <v>Belize</v>
          </cell>
          <cell r="B18" t="str">
            <v>Caa1</v>
          </cell>
          <cell r="C18" t="str">
            <v>NA</v>
          </cell>
          <cell r="D18" t="str">
            <v>NA</v>
          </cell>
        </row>
        <row r="19">
          <cell r="A19" t="str">
            <v>Benin</v>
          </cell>
          <cell r="B19" t="str">
            <v>B1</v>
          </cell>
          <cell r="C19" t="str">
            <v>NA</v>
          </cell>
          <cell r="D19" t="str">
            <v>NA</v>
          </cell>
        </row>
        <row r="20">
          <cell r="A20" t="str">
            <v>Bermuda</v>
          </cell>
          <cell r="B20" t="str">
            <v>A2</v>
          </cell>
          <cell r="C20" t="str">
            <v>NA</v>
          </cell>
          <cell r="D20" t="str">
            <v>NA</v>
          </cell>
        </row>
        <row r="21">
          <cell r="A21" t="str">
            <v>Bolivia</v>
          </cell>
          <cell r="B21" t="str">
            <v>Ca</v>
          </cell>
          <cell r="C21" t="str">
            <v>NA</v>
          </cell>
          <cell r="D21" t="str">
            <v>NA</v>
          </cell>
        </row>
        <row r="22">
          <cell r="A22" t="str">
            <v>Bosnia and Herzegovina</v>
          </cell>
          <cell r="B22" t="str">
            <v>B3</v>
          </cell>
          <cell r="C22" t="str">
            <v>NA</v>
          </cell>
          <cell r="D22" t="str">
            <v>NA</v>
          </cell>
        </row>
        <row r="23">
          <cell r="A23" t="str">
            <v>Botswana</v>
          </cell>
          <cell r="B23" t="str">
            <v>A3</v>
          </cell>
          <cell r="C23" t="str">
            <v>NA</v>
          </cell>
          <cell r="D23" t="str">
            <v>NA</v>
          </cell>
        </row>
        <row r="24">
          <cell r="A24" t="str">
            <v>Brazil</v>
          </cell>
          <cell r="B24" t="str">
            <v>Ba1</v>
          </cell>
          <cell r="C24">
            <v>2.5499999999999998E-2</v>
          </cell>
          <cell r="D24">
            <v>2.3799999999999998E-2</v>
          </cell>
        </row>
        <row r="25">
          <cell r="A25" t="str">
            <v>Bulgaria</v>
          </cell>
          <cell r="B25" t="str">
            <v>Baa1</v>
          </cell>
          <cell r="C25">
            <v>1.12E-2</v>
          </cell>
          <cell r="D25">
            <v>9.4999999999999998E-3</v>
          </cell>
        </row>
        <row r="26">
          <cell r="A26" t="str">
            <v>Burkina Faso</v>
          </cell>
          <cell r="B26" t="str">
            <v>Caa1</v>
          </cell>
          <cell r="C26" t="str">
            <v>NA</v>
          </cell>
          <cell r="D26" t="str">
            <v>NA</v>
          </cell>
        </row>
        <row r="27">
          <cell r="A27" t="str">
            <v>Cambodia</v>
          </cell>
          <cell r="B27" t="str">
            <v>B2</v>
          </cell>
          <cell r="C27" t="str">
            <v>NA</v>
          </cell>
          <cell r="D27" t="str">
            <v>NA</v>
          </cell>
        </row>
        <row r="28">
          <cell r="A28" t="str">
            <v>Cameroon</v>
          </cell>
          <cell r="B28" t="str">
            <v>Caa1</v>
          </cell>
          <cell r="C28">
            <v>8.0299999999999996E-2</v>
          </cell>
          <cell r="D28">
            <v>7.8600000000000003E-2</v>
          </cell>
        </row>
        <row r="29">
          <cell r="A29" t="str">
            <v>Canada</v>
          </cell>
          <cell r="B29" t="str">
            <v>Aaa</v>
          </cell>
          <cell r="C29">
            <v>3.7000000000000002E-3</v>
          </cell>
          <cell r="D29">
            <v>2E-3</v>
          </cell>
        </row>
        <row r="30">
          <cell r="A30" t="str">
            <v>Cape Verde</v>
          </cell>
          <cell r="B30" t="str">
            <v>B2</v>
          </cell>
          <cell r="C30" t="str">
            <v>NA</v>
          </cell>
          <cell r="D30" t="str">
            <v>NA</v>
          </cell>
        </row>
        <row r="31">
          <cell r="A31" t="str">
            <v>Cayman Islands</v>
          </cell>
          <cell r="B31" t="str">
            <v>Aa3</v>
          </cell>
          <cell r="C31" t="str">
            <v>NA</v>
          </cell>
          <cell r="D31" t="str">
            <v>NA</v>
          </cell>
        </row>
        <row r="32">
          <cell r="A32" t="str">
            <v>Chile</v>
          </cell>
          <cell r="B32" t="str">
            <v>A2</v>
          </cell>
          <cell r="C32">
            <v>1.04E-2</v>
          </cell>
          <cell r="D32">
            <v>8.6999999999999994E-3</v>
          </cell>
        </row>
        <row r="33">
          <cell r="A33" t="str">
            <v>China</v>
          </cell>
          <cell r="B33" t="str">
            <v>A1</v>
          </cell>
          <cell r="C33">
            <v>7.4999999999999997E-3</v>
          </cell>
          <cell r="D33">
            <v>5.7999999999999996E-3</v>
          </cell>
        </row>
        <row r="34">
          <cell r="A34" t="str">
            <v>Colombia</v>
          </cell>
          <cell r="B34" t="str">
            <v>Baa3</v>
          </cell>
          <cell r="C34">
            <v>3.4799999999999998E-2</v>
          </cell>
          <cell r="D34">
            <v>3.3099999999999997E-2</v>
          </cell>
        </row>
        <row r="35">
          <cell r="A35" t="str">
            <v>Congo (Democratic Republic of)</v>
          </cell>
          <cell r="B35" t="str">
            <v>B3</v>
          </cell>
          <cell r="C35" t="str">
            <v>NA</v>
          </cell>
          <cell r="D35" t="str">
            <v>NA</v>
          </cell>
        </row>
        <row r="36">
          <cell r="A36" t="str">
            <v>Congo (Republic of)</v>
          </cell>
          <cell r="B36" t="str">
            <v>Caa2</v>
          </cell>
          <cell r="C36" t="str">
            <v>NA</v>
          </cell>
          <cell r="D36" t="str">
            <v>NA</v>
          </cell>
        </row>
        <row r="37">
          <cell r="A37" t="str">
            <v>Cook Islands</v>
          </cell>
          <cell r="B37" t="str">
            <v>B1</v>
          </cell>
          <cell r="C37" t="str">
            <v>NA</v>
          </cell>
          <cell r="D37" t="str">
            <v>NA</v>
          </cell>
        </row>
        <row r="38">
          <cell r="A38" t="str">
            <v>Costa Rica</v>
          </cell>
          <cell r="B38" t="str">
            <v>Ba3</v>
          </cell>
          <cell r="C38">
            <v>2.5000000000000001E-2</v>
          </cell>
          <cell r="D38">
            <v>2.3300000000000001E-2</v>
          </cell>
        </row>
        <row r="39">
          <cell r="A39" t="str">
            <v>Côte d'Ivoire</v>
          </cell>
          <cell r="B39" t="str">
            <v>Ba2</v>
          </cell>
          <cell r="C39" t="str">
            <v>NA</v>
          </cell>
          <cell r="D39" t="str">
            <v>NA</v>
          </cell>
        </row>
        <row r="40">
          <cell r="A40" t="str">
            <v>Croatia</v>
          </cell>
          <cell r="B40" t="str">
            <v>A3</v>
          </cell>
          <cell r="C40">
            <v>1.24E-2</v>
          </cell>
          <cell r="D40">
            <v>1.0699999999999999E-2</v>
          </cell>
        </row>
        <row r="41">
          <cell r="A41" t="str">
            <v>Cuba</v>
          </cell>
          <cell r="B41" t="str">
            <v>Ca</v>
          </cell>
          <cell r="C41" t="str">
            <v>NA</v>
          </cell>
          <cell r="D41" t="str">
            <v>NA</v>
          </cell>
        </row>
        <row r="42">
          <cell r="A42" t="str">
            <v>Curacao</v>
          </cell>
          <cell r="B42" t="str">
            <v>Baa3</v>
          </cell>
          <cell r="C42" t="str">
            <v>NA</v>
          </cell>
          <cell r="D42" t="str">
            <v>NA</v>
          </cell>
        </row>
        <row r="43">
          <cell r="A43" t="str">
            <v>Cyprus</v>
          </cell>
          <cell r="B43" t="str">
            <v>A3</v>
          </cell>
          <cell r="C43">
            <v>8.2000000000000007E-3</v>
          </cell>
          <cell r="D43">
            <v>6.5000000000000006E-3</v>
          </cell>
        </row>
        <row r="44">
          <cell r="A44" t="str">
            <v>Czech Republic</v>
          </cell>
          <cell r="B44" t="str">
            <v>Aa3</v>
          </cell>
          <cell r="C44">
            <v>5.4000000000000003E-3</v>
          </cell>
          <cell r="D44">
            <v>3.7000000000000002E-3</v>
          </cell>
        </row>
        <row r="45">
          <cell r="A45" t="str">
            <v>Denmark</v>
          </cell>
          <cell r="B45" t="str">
            <v>Aaa</v>
          </cell>
          <cell r="C45">
            <v>2.0999999999999999E-3</v>
          </cell>
          <cell r="D45">
            <v>3.9999999999999996E-4</v>
          </cell>
        </row>
        <row r="46">
          <cell r="A46" t="str">
            <v>Dominican Republic</v>
          </cell>
          <cell r="B46" t="str">
            <v>Ba3</v>
          </cell>
          <cell r="C46" t="str">
            <v>NA</v>
          </cell>
          <cell r="D46" t="str">
            <v>NA</v>
          </cell>
        </row>
        <row r="47">
          <cell r="A47" t="str">
            <v>Ecuador</v>
          </cell>
          <cell r="B47" t="str">
            <v>Caa3</v>
          </cell>
          <cell r="C47">
            <v>0.1242</v>
          </cell>
          <cell r="D47">
            <v>0.12250000000000001</v>
          </cell>
        </row>
        <row r="48">
          <cell r="A48" t="str">
            <v>Egypt</v>
          </cell>
          <cell r="B48" t="str">
            <v>Caa1</v>
          </cell>
          <cell r="C48">
            <v>6.6100000000000006E-2</v>
          </cell>
          <cell r="D48">
            <v>6.4400000000000013E-2</v>
          </cell>
        </row>
        <row r="49">
          <cell r="A49" t="str">
            <v>El Salvador</v>
          </cell>
          <cell r="B49" t="str">
            <v>B3</v>
          </cell>
          <cell r="C49">
            <v>4.4699999999999997E-2</v>
          </cell>
          <cell r="D49">
            <v>4.2999999999999997E-2</v>
          </cell>
        </row>
        <row r="50">
          <cell r="A50" t="str">
            <v>Estonia</v>
          </cell>
          <cell r="B50" t="str">
            <v>A1</v>
          </cell>
          <cell r="C50">
            <v>9.2999999999999992E-3</v>
          </cell>
          <cell r="D50">
            <v>7.5999999999999991E-3</v>
          </cell>
        </row>
        <row r="51">
          <cell r="A51" t="str">
            <v>Ethiopia</v>
          </cell>
          <cell r="B51" t="str">
            <v>Caa2</v>
          </cell>
          <cell r="C51" t="str">
            <v>NA</v>
          </cell>
          <cell r="D51" t="str">
            <v>NA</v>
          </cell>
        </row>
        <row r="52">
          <cell r="A52" t="str">
            <v>Fiji</v>
          </cell>
          <cell r="B52" t="str">
            <v>B1</v>
          </cell>
          <cell r="C52" t="str">
            <v>NA</v>
          </cell>
          <cell r="D52" t="str">
            <v>NA</v>
          </cell>
        </row>
        <row r="53">
          <cell r="A53" t="str">
            <v>Finland</v>
          </cell>
          <cell r="B53" t="str">
            <v>Aa1</v>
          </cell>
          <cell r="C53">
            <v>3.2000000000000002E-3</v>
          </cell>
          <cell r="D53">
            <v>1.5000000000000002E-3</v>
          </cell>
        </row>
        <row r="54">
          <cell r="A54" t="str">
            <v>France</v>
          </cell>
          <cell r="B54" t="str">
            <v>Aa3</v>
          </cell>
          <cell r="C54">
            <v>6.7999999999999996E-3</v>
          </cell>
          <cell r="D54">
            <v>5.0999999999999995E-3</v>
          </cell>
        </row>
        <row r="55">
          <cell r="A55" t="str">
            <v>Gabon</v>
          </cell>
          <cell r="B55" t="str">
            <v>Caa2</v>
          </cell>
          <cell r="C55" t="str">
            <v>NA</v>
          </cell>
          <cell r="D55" t="str">
            <v>NA</v>
          </cell>
        </row>
        <row r="56">
          <cell r="A56" t="str">
            <v>Georgia</v>
          </cell>
          <cell r="B56" t="str">
            <v>Ba2</v>
          </cell>
          <cell r="C56" t="str">
            <v>NA</v>
          </cell>
          <cell r="D56" t="str">
            <v>NA</v>
          </cell>
        </row>
        <row r="57">
          <cell r="A57" t="str">
            <v>Germany</v>
          </cell>
          <cell r="B57" t="str">
            <v>Aaa</v>
          </cell>
          <cell r="C57">
            <v>2.3999999999999998E-3</v>
          </cell>
          <cell r="D57">
            <v>6.9999999999999988E-4</v>
          </cell>
        </row>
        <row r="58">
          <cell r="A58" t="str">
            <v>Ghana</v>
          </cell>
          <cell r="B58" t="str">
            <v>Caa2</v>
          </cell>
          <cell r="C58" t="str">
            <v>NA</v>
          </cell>
          <cell r="D58" t="str">
            <v>NA</v>
          </cell>
        </row>
        <row r="59">
          <cell r="A59" t="str">
            <v>Greece</v>
          </cell>
          <cell r="B59" t="str">
            <v>Baa3</v>
          </cell>
          <cell r="C59">
            <v>1.04E-2</v>
          </cell>
          <cell r="D59">
            <v>8.6999999999999994E-3</v>
          </cell>
        </row>
        <row r="60">
          <cell r="A60" t="str">
            <v>Guatemala</v>
          </cell>
          <cell r="B60" t="str">
            <v>Ba1</v>
          </cell>
          <cell r="C60" t="str">
            <v>NA</v>
          </cell>
          <cell r="D60" t="str">
            <v>NA</v>
          </cell>
        </row>
        <row r="61">
          <cell r="A61" t="str">
            <v>Guernsey (States of)</v>
          </cell>
          <cell r="B61" t="str">
            <v>A1</v>
          </cell>
          <cell r="C61" t="str">
            <v>NA</v>
          </cell>
          <cell r="D61" t="str">
            <v>NA</v>
          </cell>
        </row>
        <row r="62">
          <cell r="A62" t="str">
            <v>Honduras</v>
          </cell>
          <cell r="B62" t="str">
            <v>B1</v>
          </cell>
          <cell r="C62" t="str">
            <v>NA</v>
          </cell>
          <cell r="D62" t="str">
            <v>NA</v>
          </cell>
        </row>
        <row r="63">
          <cell r="A63" t="str">
            <v>Hong Kong</v>
          </cell>
          <cell r="B63" t="str">
            <v>Aa3</v>
          </cell>
          <cell r="C63">
            <v>5.8999999999999999E-3</v>
          </cell>
          <cell r="D63">
            <v>4.1999999999999997E-3</v>
          </cell>
        </row>
        <row r="64">
          <cell r="A64" t="str">
            <v>Hungary</v>
          </cell>
          <cell r="B64" t="str">
            <v>Baa2</v>
          </cell>
          <cell r="C64">
            <v>1.83E-2</v>
          </cell>
          <cell r="D64">
            <v>1.66E-2</v>
          </cell>
        </row>
        <row r="65">
          <cell r="A65" t="str">
            <v>Iceland</v>
          </cell>
          <cell r="B65" t="str">
            <v>A1</v>
          </cell>
          <cell r="C65">
            <v>4.7000000000000002E-3</v>
          </cell>
          <cell r="D65">
            <v>3.0000000000000001E-3</v>
          </cell>
        </row>
        <row r="66">
          <cell r="A66" t="str">
            <v>India</v>
          </cell>
          <cell r="B66" t="str">
            <v>Baa3</v>
          </cell>
          <cell r="C66">
            <v>8.3999999999999995E-3</v>
          </cell>
          <cell r="D66">
            <v>6.6999999999999994E-3</v>
          </cell>
        </row>
        <row r="67">
          <cell r="A67" t="str">
            <v>Indonesia</v>
          </cell>
          <cell r="B67" t="str">
            <v>Baa2</v>
          </cell>
          <cell r="C67">
            <v>1.34E-2</v>
          </cell>
          <cell r="D67">
            <v>1.17E-2</v>
          </cell>
        </row>
        <row r="68">
          <cell r="A68" t="str">
            <v>Iraq</v>
          </cell>
          <cell r="B68" t="str">
            <v>Caa1</v>
          </cell>
          <cell r="C68">
            <v>4.0500000000000001E-2</v>
          </cell>
          <cell r="D68">
            <v>3.8800000000000001E-2</v>
          </cell>
        </row>
        <row r="69">
          <cell r="A69" t="str">
            <v>Ireland</v>
          </cell>
          <cell r="B69" t="str">
            <v>Aa3</v>
          </cell>
          <cell r="C69">
            <v>3.8E-3</v>
          </cell>
          <cell r="D69">
            <v>2.1000000000000003E-3</v>
          </cell>
        </row>
        <row r="70">
          <cell r="A70" t="str">
            <v>Isle of Man</v>
          </cell>
          <cell r="B70" t="str">
            <v>Aa3</v>
          </cell>
          <cell r="C70" t="str">
            <v>NA</v>
          </cell>
          <cell r="D70" t="str">
            <v>NA</v>
          </cell>
        </row>
        <row r="71">
          <cell r="A71" t="str">
            <v>Israel</v>
          </cell>
          <cell r="B71" t="str">
            <v>Baa1</v>
          </cell>
          <cell r="C71">
            <v>1.3899999999999999E-2</v>
          </cell>
          <cell r="D71">
            <v>1.2199999999999999E-2</v>
          </cell>
        </row>
        <row r="72">
          <cell r="A72" t="str">
            <v>Italy</v>
          </cell>
          <cell r="B72" t="str">
            <v>Baa3</v>
          </cell>
          <cell r="C72">
            <v>9.7999999999999997E-3</v>
          </cell>
          <cell r="D72">
            <v>8.0999999999999996E-3</v>
          </cell>
        </row>
        <row r="73">
          <cell r="A73" t="str">
            <v>Jamaica</v>
          </cell>
          <cell r="B73" t="str">
            <v>B1</v>
          </cell>
          <cell r="C73" t="str">
            <v>NA</v>
          </cell>
          <cell r="D73" t="str">
            <v>NA</v>
          </cell>
        </row>
        <row r="74">
          <cell r="A74" t="str">
            <v>Japan</v>
          </cell>
          <cell r="B74" t="str">
            <v>A1</v>
          </cell>
          <cell r="C74">
            <v>3.5999999999999999E-3</v>
          </cell>
          <cell r="D74">
            <v>1.9E-3</v>
          </cell>
        </row>
        <row r="75">
          <cell r="A75" t="str">
            <v>Jersey (States of)</v>
          </cell>
          <cell r="B75" t="str">
            <v>Aa3</v>
          </cell>
          <cell r="C75" t="str">
            <v>NA</v>
          </cell>
          <cell r="D75" t="str">
            <v>NA</v>
          </cell>
        </row>
        <row r="76">
          <cell r="A76" t="str">
            <v>Jordan</v>
          </cell>
          <cell r="B76" t="str">
            <v>Ba3</v>
          </cell>
          <cell r="C76" t="str">
            <v>NA</v>
          </cell>
          <cell r="D76" t="str">
            <v>NA</v>
          </cell>
        </row>
        <row r="77">
          <cell r="A77" t="str">
            <v>Kazakhstan</v>
          </cell>
          <cell r="B77" t="str">
            <v>Baa1</v>
          </cell>
          <cell r="C77">
            <v>1.46E-2</v>
          </cell>
          <cell r="D77">
            <v>1.29E-2</v>
          </cell>
        </row>
        <row r="78">
          <cell r="A78" t="str">
            <v>Kenya</v>
          </cell>
          <cell r="B78" t="str">
            <v>Caa1</v>
          </cell>
          <cell r="C78">
            <v>6.3399999999999998E-2</v>
          </cell>
          <cell r="D78">
            <v>6.1699999999999998E-2</v>
          </cell>
        </row>
        <row r="79">
          <cell r="A79" t="str">
            <v>Korea</v>
          </cell>
          <cell r="B79" t="str">
            <v>Aa2</v>
          </cell>
          <cell r="C79">
            <v>3.7000000000000002E-3</v>
          </cell>
          <cell r="D79">
            <v>2E-3</v>
          </cell>
        </row>
        <row r="80">
          <cell r="A80" t="str">
            <v>Kuwait</v>
          </cell>
          <cell r="B80" t="str">
            <v>A1</v>
          </cell>
          <cell r="C80">
            <v>8.6999999999999994E-3</v>
          </cell>
          <cell r="D80">
            <v>6.9999999999999993E-3</v>
          </cell>
        </row>
        <row r="81">
          <cell r="A81" t="str">
            <v>Kyrgyzstan</v>
          </cell>
          <cell r="B81" t="str">
            <v>B3</v>
          </cell>
          <cell r="C81" t="str">
            <v>NA</v>
          </cell>
          <cell r="D81" t="str">
            <v>NA</v>
          </cell>
        </row>
        <row r="82">
          <cell r="A82" t="str">
            <v>Laos</v>
          </cell>
          <cell r="B82" t="str">
            <v>Caa3</v>
          </cell>
          <cell r="C82" t="str">
            <v>NA</v>
          </cell>
          <cell r="D82" t="str">
            <v>NA</v>
          </cell>
        </row>
        <row r="83">
          <cell r="A83" t="str">
            <v>Latvia</v>
          </cell>
          <cell r="B83" t="str">
            <v>A3</v>
          </cell>
          <cell r="C83">
            <v>9.7999999999999997E-3</v>
          </cell>
          <cell r="D83">
            <v>8.0999999999999996E-3</v>
          </cell>
        </row>
        <row r="84">
          <cell r="A84" t="str">
            <v>Lebanon</v>
          </cell>
          <cell r="B84" t="str">
            <v>C</v>
          </cell>
          <cell r="C84" t="str">
            <v>NA</v>
          </cell>
          <cell r="D84" t="str">
            <v>NA</v>
          </cell>
        </row>
        <row r="85">
          <cell r="A85" t="str">
            <v>Liechtenstein</v>
          </cell>
          <cell r="B85" t="str">
            <v>Aaa</v>
          </cell>
          <cell r="C85" t="str">
            <v>NA</v>
          </cell>
          <cell r="D85" t="str">
            <v>NA</v>
          </cell>
        </row>
        <row r="86">
          <cell r="A86" t="str">
            <v>Lithuania</v>
          </cell>
          <cell r="B86" t="str">
            <v>A2</v>
          </cell>
          <cell r="C86">
            <v>8.9999999999999993E-3</v>
          </cell>
          <cell r="D86">
            <v>7.2999999999999992E-3</v>
          </cell>
        </row>
        <row r="87">
          <cell r="A87" t="str">
            <v>Luxembourg</v>
          </cell>
          <cell r="B87" t="str">
            <v>Aaa</v>
          </cell>
          <cell r="C87" t="str">
            <v>NA</v>
          </cell>
          <cell r="D87" t="str">
            <v>NA</v>
          </cell>
        </row>
        <row r="88">
          <cell r="A88" t="str">
            <v>Macao</v>
          </cell>
          <cell r="B88" t="str">
            <v>Aa3</v>
          </cell>
          <cell r="C88" t="str">
            <v>NA</v>
          </cell>
          <cell r="D88" t="str">
            <v>NA</v>
          </cell>
        </row>
        <row r="89">
          <cell r="A89" t="str">
            <v>Macedonia</v>
          </cell>
          <cell r="B89" t="str">
            <v>Ba3</v>
          </cell>
          <cell r="C89" t="str">
            <v>NA</v>
          </cell>
          <cell r="D89" t="str">
            <v>NA</v>
          </cell>
        </row>
        <row r="90">
          <cell r="A90" t="str">
            <v>Malaysia</v>
          </cell>
          <cell r="B90" t="str">
            <v>A3</v>
          </cell>
          <cell r="C90">
            <v>8.0999999999999996E-3</v>
          </cell>
          <cell r="D90">
            <v>6.3999999999999994E-3</v>
          </cell>
        </row>
        <row r="91">
          <cell r="A91" t="str">
            <v>Maldives</v>
          </cell>
          <cell r="B91" t="str">
            <v>Caa2</v>
          </cell>
          <cell r="C91" t="str">
            <v>NA</v>
          </cell>
          <cell r="D91" t="str">
            <v>NA</v>
          </cell>
        </row>
        <row r="92">
          <cell r="A92" t="str">
            <v>Mali</v>
          </cell>
          <cell r="B92" t="str">
            <v>Caa2</v>
          </cell>
          <cell r="C92" t="str">
            <v>NA</v>
          </cell>
          <cell r="D92" t="str">
            <v>NA</v>
          </cell>
        </row>
        <row r="93">
          <cell r="A93" t="str">
            <v>Malta</v>
          </cell>
          <cell r="B93" t="str">
            <v>A2</v>
          </cell>
          <cell r="C93" t="str">
            <v>NA</v>
          </cell>
          <cell r="D93" t="str">
            <v>NA</v>
          </cell>
        </row>
        <row r="94">
          <cell r="A94" t="str">
            <v>Mauritius</v>
          </cell>
          <cell r="B94" t="str">
            <v>Baa3</v>
          </cell>
          <cell r="C94" t="str">
            <v>NA</v>
          </cell>
          <cell r="D94" t="str">
            <v>NA</v>
          </cell>
        </row>
        <row r="95">
          <cell r="A95" t="str">
            <v>Mexico</v>
          </cell>
          <cell r="B95" t="str">
            <v>Baa2</v>
          </cell>
          <cell r="C95">
            <v>1.8599999999999998E-2</v>
          </cell>
          <cell r="D95">
            <v>1.6899999999999998E-2</v>
          </cell>
        </row>
        <row r="96">
          <cell r="A96" t="str">
            <v>Moldova</v>
          </cell>
          <cell r="B96" t="str">
            <v>B3</v>
          </cell>
          <cell r="C96" t="str">
            <v>NA</v>
          </cell>
          <cell r="D96" t="str">
            <v>NA</v>
          </cell>
        </row>
        <row r="97">
          <cell r="A97" t="str">
            <v>Mongolia</v>
          </cell>
          <cell r="B97" t="str">
            <v>B2</v>
          </cell>
          <cell r="C97" t="str">
            <v>NA</v>
          </cell>
          <cell r="D97" t="str">
            <v>NA</v>
          </cell>
        </row>
        <row r="98">
          <cell r="A98" t="str">
            <v>Montenegro</v>
          </cell>
          <cell r="B98" t="str">
            <v>B1</v>
          </cell>
          <cell r="C98" t="str">
            <v>NA</v>
          </cell>
          <cell r="D98" t="str">
            <v>NA</v>
          </cell>
        </row>
        <row r="99">
          <cell r="A99" t="str">
            <v>Montserrat</v>
          </cell>
          <cell r="B99" t="str">
            <v>Baa3</v>
          </cell>
          <cell r="C99" t="str">
            <v>NA</v>
          </cell>
          <cell r="D99" t="str">
            <v>NA</v>
          </cell>
        </row>
        <row r="100">
          <cell r="A100" t="str">
            <v>Morocco</v>
          </cell>
          <cell r="B100" t="str">
            <v>Ba1</v>
          </cell>
          <cell r="C100">
            <v>1.6E-2</v>
          </cell>
          <cell r="D100">
            <v>1.43E-2</v>
          </cell>
        </row>
        <row r="101">
          <cell r="A101" t="str">
            <v>Mozambique</v>
          </cell>
          <cell r="B101" t="str">
            <v>Caa3</v>
          </cell>
          <cell r="C101" t="str">
            <v>NA</v>
          </cell>
          <cell r="D101" t="str">
            <v>NA</v>
          </cell>
        </row>
        <row r="102">
          <cell r="A102" t="str">
            <v>Namibia</v>
          </cell>
          <cell r="B102" t="str">
            <v>B1</v>
          </cell>
          <cell r="C102" t="str">
            <v>NA</v>
          </cell>
          <cell r="D102" t="str">
            <v>NA</v>
          </cell>
        </row>
        <row r="103">
          <cell r="A103" t="str">
            <v>Nepal</v>
          </cell>
          <cell r="B103" t="str">
            <v>Ba3</v>
          </cell>
          <cell r="C103" t="str">
            <v>NA</v>
          </cell>
          <cell r="D103" t="str">
            <v>NA</v>
          </cell>
        </row>
        <row r="104">
          <cell r="A104" t="str">
            <v>Netherlands</v>
          </cell>
          <cell r="B104" t="str">
            <v>Aaa</v>
          </cell>
          <cell r="C104">
            <v>2.5000000000000001E-3</v>
          </cell>
          <cell r="D104">
            <v>8.0000000000000015E-4</v>
          </cell>
        </row>
        <row r="105">
          <cell r="A105" t="str">
            <v>New Zealand</v>
          </cell>
          <cell r="B105" t="str">
            <v>Aaa</v>
          </cell>
          <cell r="C105">
            <v>2.3E-3</v>
          </cell>
          <cell r="D105">
            <v>6.0000000000000006E-4</v>
          </cell>
        </row>
        <row r="106">
          <cell r="A106" t="str">
            <v>Nicaragua</v>
          </cell>
          <cell r="B106" t="str">
            <v>B2</v>
          </cell>
          <cell r="C106">
            <v>6.3700000000000007E-2</v>
          </cell>
          <cell r="D106">
            <v>6.2000000000000006E-2</v>
          </cell>
        </row>
        <row r="107">
          <cell r="A107" t="str">
            <v>Niger</v>
          </cell>
          <cell r="B107" t="str">
            <v>Caa3</v>
          </cell>
          <cell r="C107" t="str">
            <v>NA</v>
          </cell>
          <cell r="D107" t="str">
            <v>NA</v>
          </cell>
        </row>
        <row r="108">
          <cell r="A108" t="str">
            <v>Nigeria</v>
          </cell>
          <cell r="B108" t="str">
            <v>B3</v>
          </cell>
          <cell r="C108">
            <v>6.0499999999999998E-2</v>
          </cell>
          <cell r="D108">
            <v>5.8799999999999998E-2</v>
          </cell>
        </row>
        <row r="109">
          <cell r="A109" t="str">
            <v>Norway</v>
          </cell>
          <cell r="B109" t="str">
            <v>Aaa</v>
          </cell>
          <cell r="C109">
            <v>2.2000000000000001E-3</v>
          </cell>
          <cell r="D109">
            <v>5.0000000000000023E-4</v>
          </cell>
        </row>
        <row r="110">
          <cell r="A110" t="str">
            <v>Oman</v>
          </cell>
          <cell r="B110" t="str">
            <v>Ba1</v>
          </cell>
          <cell r="C110">
            <v>1.66E-2</v>
          </cell>
          <cell r="D110">
            <v>1.49E-2</v>
          </cell>
        </row>
        <row r="111">
          <cell r="A111" t="str">
            <v>Pakistan</v>
          </cell>
          <cell r="B111" t="str">
            <v>Caa2</v>
          </cell>
          <cell r="C111">
            <v>7.6399999999999996E-2</v>
          </cell>
          <cell r="D111">
            <v>7.4700000000000003E-2</v>
          </cell>
        </row>
        <row r="112">
          <cell r="A112" t="str">
            <v>Panama</v>
          </cell>
          <cell r="B112" t="str">
            <v>Baa3</v>
          </cell>
          <cell r="C112">
            <v>2.9600000000000001E-2</v>
          </cell>
          <cell r="D112">
            <v>2.7900000000000001E-2</v>
          </cell>
        </row>
        <row r="113">
          <cell r="A113" t="str">
            <v>Papua New Guinea</v>
          </cell>
          <cell r="B113" t="str">
            <v>B2</v>
          </cell>
          <cell r="C113" t="str">
            <v>NA</v>
          </cell>
          <cell r="D113" t="str">
            <v>NA</v>
          </cell>
        </row>
        <row r="114">
          <cell r="A114" t="str">
            <v>Paraguay</v>
          </cell>
          <cell r="B114" t="str">
            <v>Baa3</v>
          </cell>
          <cell r="C114" t="str">
            <v>NA</v>
          </cell>
          <cell r="D114" t="str">
            <v>NA</v>
          </cell>
        </row>
        <row r="115">
          <cell r="A115" t="str">
            <v>Peru</v>
          </cell>
          <cell r="B115" t="str">
            <v>Baa1</v>
          </cell>
          <cell r="C115">
            <v>1.3899999999999999E-2</v>
          </cell>
          <cell r="D115">
            <v>1.2199999999999999E-2</v>
          </cell>
        </row>
        <row r="116">
          <cell r="A116" t="str">
            <v>Philippines</v>
          </cell>
          <cell r="B116" t="str">
            <v>Baa2</v>
          </cell>
          <cell r="C116">
            <v>1.15E-2</v>
          </cell>
          <cell r="D116">
            <v>9.7999999999999997E-3</v>
          </cell>
        </row>
        <row r="117">
          <cell r="A117" t="str">
            <v>Poland</v>
          </cell>
          <cell r="B117" t="str">
            <v>A2</v>
          </cell>
          <cell r="C117">
            <v>1.0999999999999999E-2</v>
          </cell>
          <cell r="D117">
            <v>9.2999999999999992E-3</v>
          </cell>
        </row>
        <row r="118">
          <cell r="A118" t="str">
            <v>Portugal</v>
          </cell>
          <cell r="B118" t="str">
            <v>A3</v>
          </cell>
          <cell r="C118">
            <v>5.4999999999999997E-3</v>
          </cell>
          <cell r="D118">
            <v>3.7999999999999996E-3</v>
          </cell>
        </row>
        <row r="119">
          <cell r="A119" t="str">
            <v>Qatar</v>
          </cell>
          <cell r="B119" t="str">
            <v>Aa2</v>
          </cell>
          <cell r="C119">
            <v>6.7999999999999996E-3</v>
          </cell>
          <cell r="D119">
            <v>5.0999999999999995E-3</v>
          </cell>
        </row>
        <row r="120">
          <cell r="A120" t="str">
            <v>Ras Al Khaimah (Emirate of)</v>
          </cell>
          <cell r="B120" t="str">
            <v>A3</v>
          </cell>
          <cell r="C120" t="str">
            <v>NA</v>
          </cell>
          <cell r="D120" t="str">
            <v>NA</v>
          </cell>
        </row>
        <row r="121">
          <cell r="A121" t="str">
            <v>Romania</v>
          </cell>
          <cell r="B121" t="str">
            <v>Baa3</v>
          </cell>
          <cell r="C121">
            <v>2.6700000000000002E-2</v>
          </cell>
          <cell r="D121">
            <v>2.5000000000000001E-2</v>
          </cell>
        </row>
        <row r="122">
          <cell r="A122" t="str">
            <v>Rwanda</v>
          </cell>
          <cell r="B122" t="str">
            <v>B2</v>
          </cell>
          <cell r="C122">
            <v>5.4300000000000001E-2</v>
          </cell>
          <cell r="D122">
            <v>5.2600000000000001E-2</v>
          </cell>
        </row>
        <row r="123">
          <cell r="A123" t="str">
            <v>Saudi Arabia</v>
          </cell>
          <cell r="B123" t="str">
            <v>Aa3</v>
          </cell>
          <cell r="C123">
            <v>1.12E-2</v>
          </cell>
          <cell r="D123">
            <v>9.4999999999999998E-3</v>
          </cell>
        </row>
        <row r="124">
          <cell r="A124" t="str">
            <v>Senegal</v>
          </cell>
          <cell r="B124" t="str">
            <v>B3</v>
          </cell>
          <cell r="C124">
            <v>7.8299999999999995E-2</v>
          </cell>
          <cell r="D124">
            <v>7.6600000000000001E-2</v>
          </cell>
        </row>
        <row r="125">
          <cell r="A125" t="str">
            <v>Serbia</v>
          </cell>
          <cell r="B125" t="str">
            <v>Ba2</v>
          </cell>
          <cell r="C125">
            <v>2.3E-2</v>
          </cell>
          <cell r="D125">
            <v>2.1299999999999999E-2</v>
          </cell>
        </row>
        <row r="126">
          <cell r="A126" t="str">
            <v>Sharjah</v>
          </cell>
          <cell r="B126" t="str">
            <v>Ba1</v>
          </cell>
          <cell r="C126" t="e">
            <v>#N/A</v>
          </cell>
          <cell r="D126" t="e">
            <v>#N/A</v>
          </cell>
        </row>
        <row r="127">
          <cell r="A127" t="str">
            <v>Singapore</v>
          </cell>
          <cell r="B127" t="str">
            <v>Aaa</v>
          </cell>
          <cell r="C127" t="e">
            <v>#N/A</v>
          </cell>
          <cell r="D127" t="e">
            <v>#N/A</v>
          </cell>
        </row>
        <row r="128">
          <cell r="A128" t="str">
            <v>Slovakia</v>
          </cell>
          <cell r="B128" t="str">
            <v>A3</v>
          </cell>
          <cell r="C128">
            <v>6.1000000000000004E-3</v>
          </cell>
          <cell r="D128">
            <v>4.4000000000000003E-3</v>
          </cell>
        </row>
        <row r="129">
          <cell r="A129" t="str">
            <v>Slovenia</v>
          </cell>
          <cell r="B129" t="str">
            <v>A3</v>
          </cell>
          <cell r="C129">
            <v>7.0000000000000001E-3</v>
          </cell>
          <cell r="D129">
            <v>5.3E-3</v>
          </cell>
        </row>
        <row r="130">
          <cell r="A130" t="str">
            <v>Solomon Islands</v>
          </cell>
          <cell r="B130" t="str">
            <v>Caa1</v>
          </cell>
          <cell r="C130" t="e">
            <v>#N/A</v>
          </cell>
          <cell r="D130" t="e">
            <v>#N/A</v>
          </cell>
        </row>
        <row r="131">
          <cell r="A131" t="str">
            <v>South Africa</v>
          </cell>
          <cell r="B131" t="str">
            <v>Ba2</v>
          </cell>
          <cell r="C131">
            <v>3.0099999999999998E-2</v>
          </cell>
          <cell r="D131">
            <v>2.8399999999999998E-2</v>
          </cell>
        </row>
        <row r="132">
          <cell r="A132" t="str">
            <v>Spain</v>
          </cell>
          <cell r="B132" t="str">
            <v>Baa1</v>
          </cell>
          <cell r="C132">
            <v>6.4000000000000003E-3</v>
          </cell>
          <cell r="D132">
            <v>4.7000000000000002E-3</v>
          </cell>
        </row>
        <row r="133">
          <cell r="A133" t="str">
            <v>Sri Lanka</v>
          </cell>
          <cell r="B133" t="str">
            <v>Ca</v>
          </cell>
          <cell r="C133">
            <v>4.8599999999999997E-2</v>
          </cell>
          <cell r="D133">
            <v>4.6899999999999997E-2</v>
          </cell>
        </row>
        <row r="134">
          <cell r="A134" t="str">
            <v>St. Maarten</v>
          </cell>
          <cell r="B134" t="str">
            <v>Ba2</v>
          </cell>
          <cell r="C134" t="e">
            <v>#N/A</v>
          </cell>
          <cell r="D134" t="e">
            <v>#N/A</v>
          </cell>
        </row>
        <row r="135">
          <cell r="A135" t="str">
            <v>St. Vincent &amp; the Grenadines</v>
          </cell>
          <cell r="B135" t="str">
            <v>B3</v>
          </cell>
          <cell r="C135" t="e">
            <v>#N/A</v>
          </cell>
          <cell r="D135" t="e">
            <v>#N/A</v>
          </cell>
        </row>
        <row r="136">
          <cell r="A136" t="str">
            <v>Suriname</v>
          </cell>
          <cell r="B136" t="str">
            <v>Caa1</v>
          </cell>
          <cell r="C136" t="e">
            <v>#N/A</v>
          </cell>
          <cell r="D136" t="e">
            <v>#N/A</v>
          </cell>
        </row>
        <row r="137">
          <cell r="A137" t="str">
            <v>Swaziland</v>
          </cell>
          <cell r="B137" t="str">
            <v>B2</v>
          </cell>
          <cell r="C137" t="e">
            <v>#N/A</v>
          </cell>
          <cell r="D137" t="e">
            <v>#N/A</v>
          </cell>
        </row>
        <row r="138">
          <cell r="A138" t="str">
            <v>Sweden</v>
          </cell>
          <cell r="B138" t="str">
            <v>Aaa</v>
          </cell>
          <cell r="C138">
            <v>2.5000000000000001E-3</v>
          </cell>
          <cell r="D138">
            <v>8.0000000000000015E-4</v>
          </cell>
        </row>
        <row r="139">
          <cell r="A139" t="str">
            <v>Switzerland</v>
          </cell>
          <cell r="B139" t="str">
            <v>Aaa</v>
          </cell>
          <cell r="C139">
            <v>1.6999999999999999E-3</v>
          </cell>
          <cell r="D139">
            <v>0</v>
          </cell>
        </row>
        <row r="140">
          <cell r="A140" t="str">
            <v>Taiwan</v>
          </cell>
          <cell r="B140" t="str">
            <v>Aa3</v>
          </cell>
          <cell r="C140" t="e">
            <v>#N/A</v>
          </cell>
          <cell r="D140" t="e">
            <v>#N/A</v>
          </cell>
        </row>
        <row r="141">
          <cell r="A141" t="str">
            <v>Tajikistan</v>
          </cell>
          <cell r="B141" t="str">
            <v>B3</v>
          </cell>
          <cell r="C141" t="e">
            <v>#N/A</v>
          </cell>
          <cell r="D141" t="e">
            <v>#N/A</v>
          </cell>
        </row>
        <row r="142">
          <cell r="A142" t="str">
            <v>Tanzania</v>
          </cell>
          <cell r="B142" t="str">
            <v>B1</v>
          </cell>
          <cell r="C142" t="e">
            <v>#N/A</v>
          </cell>
          <cell r="D142" t="e">
            <v>#N/A</v>
          </cell>
        </row>
        <row r="143">
          <cell r="A143" t="str">
            <v>Thailand</v>
          </cell>
          <cell r="B143" t="str">
            <v>Baa1</v>
          </cell>
          <cell r="C143">
            <v>7.1999999999999998E-3</v>
          </cell>
          <cell r="D143">
            <v>5.4999999999999997E-3</v>
          </cell>
        </row>
        <row r="144">
          <cell r="A144" t="str">
            <v>Togo</v>
          </cell>
          <cell r="B144" t="str">
            <v>B3</v>
          </cell>
          <cell r="C144" t="e">
            <v>#N/A</v>
          </cell>
          <cell r="D144" t="e">
            <v>#N/A</v>
          </cell>
        </row>
        <row r="145">
          <cell r="A145" t="str">
            <v>Trinidad and Tobago</v>
          </cell>
          <cell r="B145" t="str">
            <v>Ba2</v>
          </cell>
          <cell r="C145" t="e">
            <v>#N/A</v>
          </cell>
          <cell r="D145" t="e">
            <v>#N/A</v>
          </cell>
        </row>
        <row r="146">
          <cell r="A146" t="str">
            <v>Tunisia</v>
          </cell>
          <cell r="B146" t="str">
            <v>Caa1</v>
          </cell>
          <cell r="C146">
            <v>7.4200000000000002E-2</v>
          </cell>
          <cell r="D146">
            <v>7.2500000000000009E-2</v>
          </cell>
        </row>
        <row r="147">
          <cell r="A147" t="str">
            <v>Turkey</v>
          </cell>
          <cell r="B147" t="str">
            <v>B1</v>
          </cell>
          <cell r="C147">
            <v>3.7999999999999999E-2</v>
          </cell>
          <cell r="D147">
            <v>3.6299999999999999E-2</v>
          </cell>
        </row>
        <row r="148">
          <cell r="A148" t="str">
            <v>Turks and Caicos Islands</v>
          </cell>
          <cell r="B148" t="str">
            <v>Baa1</v>
          </cell>
          <cell r="C148" t="e">
            <v>#N/A</v>
          </cell>
          <cell r="D148" t="e">
            <v>#N/A</v>
          </cell>
        </row>
        <row r="149">
          <cell r="A149" t="str">
            <v>Uganda</v>
          </cell>
          <cell r="B149" t="str">
            <v>B3</v>
          </cell>
          <cell r="C149" t="e">
            <v>#N/A</v>
          </cell>
          <cell r="D149" t="e">
            <v>#N/A</v>
          </cell>
        </row>
        <row r="150">
          <cell r="A150" t="str">
            <v>Ukraine</v>
          </cell>
          <cell r="B150" t="str">
            <v>Ca</v>
          </cell>
          <cell r="C150" t="str">
            <v>NA</v>
          </cell>
          <cell r="D150" t="str">
            <v>NA</v>
          </cell>
        </row>
        <row r="151">
          <cell r="A151" t="str">
            <v>United Arab Emirates</v>
          </cell>
          <cell r="B151" t="str">
            <v>Aa2</v>
          </cell>
          <cell r="C151" t="e">
            <v>#N/A</v>
          </cell>
          <cell r="D151" t="e">
            <v>#N/A</v>
          </cell>
        </row>
        <row r="152">
          <cell r="A152" t="str">
            <v>United Kingdom</v>
          </cell>
          <cell r="B152" t="str">
            <v>Aa3</v>
          </cell>
          <cell r="C152">
            <v>3.7000000000000002E-3</v>
          </cell>
          <cell r="D152">
            <v>2E-3</v>
          </cell>
        </row>
        <row r="153">
          <cell r="A153" t="str">
            <v>United States</v>
          </cell>
          <cell r="B153" t="str">
            <v>Aa1</v>
          </cell>
          <cell r="C153">
            <v>5.0000000000000001E-3</v>
          </cell>
          <cell r="D153">
            <v>3.3E-3</v>
          </cell>
        </row>
        <row r="154">
          <cell r="A154" t="str">
            <v>Uruguay</v>
          </cell>
          <cell r="B154" t="str">
            <v>Baa1</v>
          </cell>
          <cell r="C154">
            <v>1.1900000000000001E-2</v>
          </cell>
          <cell r="D154">
            <v>1.0200000000000001E-2</v>
          </cell>
        </row>
        <row r="155">
          <cell r="A155" t="str">
            <v>Uzbekistan</v>
          </cell>
          <cell r="B155" t="str">
            <v>Ba3</v>
          </cell>
          <cell r="C155" t="e">
            <v>#N/A</v>
          </cell>
          <cell r="D155" t="e">
            <v>#N/A</v>
          </cell>
        </row>
        <row r="156">
          <cell r="A156" t="str">
            <v>Venezuela</v>
          </cell>
          <cell r="B156" t="str">
            <v>C</v>
          </cell>
          <cell r="C156" t="str">
            <v>NA</v>
          </cell>
          <cell r="D156" t="str">
            <v>NA</v>
          </cell>
        </row>
        <row r="157">
          <cell r="A157" t="str">
            <v>Vietnam</v>
          </cell>
          <cell r="B157" t="str">
            <v>Ba2</v>
          </cell>
          <cell r="C157">
            <v>1.5699999999999999E-2</v>
          </cell>
          <cell r="D157">
            <v>1.3999999999999999E-2</v>
          </cell>
        </row>
        <row r="158">
          <cell r="A158" t="str">
            <v>Zambia</v>
          </cell>
          <cell r="B158" t="str">
            <v>Caa2</v>
          </cell>
          <cell r="C158" t="str">
            <v>NA</v>
          </cell>
          <cell r="D158" t="str">
            <v>NA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>
        <row r="162">
          <cell r="A162" t="str">
            <v>Algeria</v>
          </cell>
          <cell r="B162">
            <v>68.5</v>
          </cell>
          <cell r="D162">
            <v>3.5361586207268286E-2</v>
          </cell>
          <cell r="E162">
            <v>9.5303780228336937E-2</v>
          </cell>
          <cell r="G162">
            <v>5.3203780228336939E-2</v>
          </cell>
        </row>
        <row r="163">
          <cell r="A163" t="str">
            <v>Brunei</v>
          </cell>
          <cell r="B163">
            <v>82</v>
          </cell>
          <cell r="D163">
            <v>5.8935977012113819E-3</v>
          </cell>
          <cell r="E163">
            <v>5.0967296704722824E-2</v>
          </cell>
          <cell r="G163">
            <v>8.8672967047228254E-3</v>
          </cell>
        </row>
        <row r="164">
          <cell r="A164" t="str">
            <v>Gambia</v>
          </cell>
          <cell r="B164">
            <v>67.75</v>
          </cell>
          <cell r="D164">
            <v>4.4259763128705082E-2</v>
          </cell>
          <cell r="E164">
            <v>0.10869165956684003</v>
          </cell>
          <cell r="G164">
            <v>6.6591659566840031E-2</v>
          </cell>
        </row>
        <row r="165">
          <cell r="A165" t="str">
            <v>Guinea</v>
          </cell>
          <cell r="B165">
            <v>57.75</v>
          </cell>
          <cell r="D165">
            <v>8.8519526257410164E-2</v>
          </cell>
          <cell r="E165">
            <v>0.17528331913368006</v>
          </cell>
          <cell r="G165">
            <v>0.13318331913368006</v>
          </cell>
        </row>
        <row r="166">
          <cell r="A166" t="str">
            <v>Guinea-Bissau</v>
          </cell>
          <cell r="B166">
            <v>61.25</v>
          </cell>
          <cell r="D166">
            <v>7.3727751634761987E-2</v>
          </cell>
          <cell r="E166">
            <v>0.15302814309045415</v>
          </cell>
          <cell r="G166">
            <v>0.11092814309045415</v>
          </cell>
        </row>
        <row r="167">
          <cell r="A167" t="str">
            <v>Guyana</v>
          </cell>
          <cell r="B167">
            <v>76.5</v>
          </cell>
          <cell r="D167">
            <v>8.3203732252395968E-3</v>
          </cell>
          <cell r="E167">
            <v>5.4618536524314573E-2</v>
          </cell>
          <cell r="G167">
            <v>1.2518536524314575E-2</v>
          </cell>
        </row>
        <row r="168">
          <cell r="A168" t="str">
            <v>Haiti</v>
          </cell>
          <cell r="B168">
            <v>56.5</v>
          </cell>
          <cell r="D168">
            <v>9.8342189092762475E-2</v>
          </cell>
          <cell r="E168">
            <v>0.1900621469748848</v>
          </cell>
          <cell r="G168">
            <v>0.1479621469748848</v>
          </cell>
        </row>
        <row r="169">
          <cell r="A169" t="str">
            <v>Iran</v>
          </cell>
          <cell r="B169">
            <v>63.5</v>
          </cell>
          <cell r="D169">
            <v>6.3905088799409676E-2</v>
          </cell>
          <cell r="E169">
            <v>0.13824931524924944</v>
          </cell>
          <cell r="G169">
            <v>9.614931524924944E-2</v>
          </cell>
        </row>
        <row r="170">
          <cell r="A170" t="str">
            <v>Korea, D.P.R.</v>
          </cell>
          <cell r="B170">
            <v>51</v>
          </cell>
          <cell r="D170">
            <v>0.1179875147634671</v>
          </cell>
          <cell r="E170">
            <v>0.21961980265729422</v>
          </cell>
          <cell r="G170">
            <v>0.17751980265729422</v>
          </cell>
        </row>
        <row r="171">
          <cell r="A171" t="str">
            <v>Liberia</v>
          </cell>
          <cell r="B171">
            <v>58.5</v>
          </cell>
          <cell r="D171">
            <v>8.8519526257410164E-2</v>
          </cell>
          <cell r="E171">
            <v>0.17528331913368006</v>
          </cell>
          <cell r="G171">
            <v>0.13318331913368006</v>
          </cell>
        </row>
        <row r="172">
          <cell r="A172" t="str">
            <v>Libya</v>
          </cell>
          <cell r="B172">
            <v>70.25</v>
          </cell>
          <cell r="D172">
            <v>2.9583549245296343E-2</v>
          </cell>
          <cell r="E172">
            <v>8.6610352086451819E-2</v>
          </cell>
          <cell r="G172">
            <v>4.4510352086451821E-2</v>
          </cell>
        </row>
        <row r="173">
          <cell r="A173" t="str">
            <v>Madagascar</v>
          </cell>
          <cell r="B173">
            <v>65</v>
          </cell>
          <cell r="D173">
            <v>5.4082425964057372E-2</v>
          </cell>
          <cell r="E173">
            <v>0.12347048740804473</v>
          </cell>
          <cell r="G173">
            <v>8.1370487408044728E-2</v>
          </cell>
        </row>
        <row r="174">
          <cell r="A174" t="str">
            <v>Malawi</v>
          </cell>
          <cell r="B174">
            <v>54.75</v>
          </cell>
          <cell r="D174">
            <v>0.1179875147634671</v>
          </cell>
          <cell r="E174">
            <v>0.21961980265729422</v>
          </cell>
          <cell r="G174">
            <v>0.17751980265729422</v>
          </cell>
        </row>
        <row r="175">
          <cell r="A175" t="str">
            <v>Myanmar</v>
          </cell>
          <cell r="B175">
            <v>56</v>
          </cell>
          <cell r="D175">
            <v>9.8342189092762475E-2</v>
          </cell>
          <cell r="E175">
            <v>0.1900621469748848</v>
          </cell>
          <cell r="G175">
            <v>0.1479621469748848</v>
          </cell>
        </row>
        <row r="176">
          <cell r="A176" t="str">
            <v>Russia</v>
          </cell>
          <cell r="B176">
            <v>70.75</v>
          </cell>
          <cell r="D176">
            <v>2.9583549245296343E-2</v>
          </cell>
          <cell r="E176">
            <v>8.6610352086451819E-2</v>
          </cell>
          <cell r="G176">
            <v>4.4510352086451821E-2</v>
          </cell>
        </row>
        <row r="177">
          <cell r="A177" t="str">
            <v>Sierra Leone</v>
          </cell>
          <cell r="B177">
            <v>59.25</v>
          </cell>
          <cell r="D177">
            <v>8.8519526257410164E-2</v>
          </cell>
          <cell r="E177">
            <v>0.17528331913368006</v>
          </cell>
          <cell r="G177">
            <v>0.13318331913368006</v>
          </cell>
        </row>
        <row r="178">
          <cell r="A178" t="str">
            <v>Somalia</v>
          </cell>
          <cell r="B178">
            <v>55.5</v>
          </cell>
          <cell r="D178">
            <v>9.8342189092762475E-2</v>
          </cell>
          <cell r="E178">
            <v>0.1900621469748848</v>
          </cell>
          <cell r="G178">
            <v>0.1479621469748848</v>
          </cell>
        </row>
        <row r="179">
          <cell r="A179" t="str">
            <v>Sudan</v>
          </cell>
          <cell r="B179">
            <v>43.75</v>
          </cell>
          <cell r="D179">
            <v>0.17499999999999996</v>
          </cell>
          <cell r="E179">
            <v>0.30539875264603467</v>
          </cell>
          <cell r="G179">
            <v>0.26329875264603464</v>
          </cell>
        </row>
        <row r="180">
          <cell r="A180" t="str">
            <v>Syria</v>
          </cell>
          <cell r="B180">
            <v>45.5</v>
          </cell>
          <cell r="D180">
            <v>0.17499999999999996</v>
          </cell>
          <cell r="E180">
            <v>0.30539875264603467</v>
          </cell>
          <cell r="G180">
            <v>0.26329875264603464</v>
          </cell>
        </row>
        <row r="181">
          <cell r="A181" t="str">
            <v>Yemen, Republic</v>
          </cell>
          <cell r="B181">
            <v>45</v>
          </cell>
          <cell r="D181">
            <v>0.17499999999999996</v>
          </cell>
          <cell r="E181">
            <v>0.30539875264603467</v>
          </cell>
          <cell r="G181">
            <v>0.26329875264603464</v>
          </cell>
        </row>
        <row r="182">
          <cell r="A182" t="str">
            <v>Zimbabwe</v>
          </cell>
          <cell r="B182">
            <v>63.5</v>
          </cell>
          <cell r="D182">
            <v>6.3905088799409676E-2</v>
          </cell>
          <cell r="E182">
            <v>0.13824931524924944</v>
          </cell>
          <cell r="G182">
            <v>9.614931524924944E-2</v>
          </cell>
        </row>
      </sheetData>
      <sheetData sheetId="1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DA766C-1CB2-4AC3-B9C5-0BAB664E35FE}" name="Table1" displayName="Table1" ref="A7:I164" totalsRowShown="0" headerRowDxfId="20" dataDxfId="19" headerRowBorderDxfId="17" tableBorderDxfId="18" totalsRowBorderDxfId="16">
  <autoFilter ref="A7:I164" xr:uid="{00000000-0009-0000-0100-000001000000}">
    <filterColumn colId="0">
      <filters>
        <filter val="Romania"/>
      </filters>
    </filterColumn>
  </autoFilter>
  <tableColumns count="9">
    <tableColumn id="1" xr3:uid="{AB658067-F3CB-47F6-88C7-C9CBBE455F38}" name="Country" dataDxfId="15">
      <calculatedColumnFormula>'[1]Sovereign Ratings (Moody''s,S&amp;P)'!A2</calculatedColumnFormula>
    </tableColumn>
    <tableColumn id="2" xr3:uid="{D6DFABD4-EB73-42AB-A10F-062094527150}" name="Africa" dataDxfId="14">
      <calculatedColumnFormula>VLOOKUP(A8,'[1]Regional lookup table'!$A$2:$B$162,2,FALSE)</calculatedColumnFormula>
    </tableColumn>
    <tableColumn id="3" xr3:uid="{1A467440-767F-44E7-B4A4-6CFB0E87BDB5}" name="Moody's rating" dataDxfId="13">
      <calculatedColumnFormula>VLOOKUP(A8,'[1]Sovereign Ratings (Moody''s,S&amp;P)'!$A$2:$D$158,4,FALSE)</calculatedColumnFormula>
    </tableColumn>
    <tableColumn id="4" xr3:uid="{7A4FAD00-65CF-4CD0-9E0C-B00B711386ED}" name="Rating-based Default Spread" dataDxfId="12" dataCellStyle="Percent">
      <calculatedColumnFormula>VLOOKUP(C8,$J$9:$K$31,2,FALSE)/10000</calculatedColumnFormula>
    </tableColumn>
    <tableColumn id="5" xr3:uid="{9870D7ED-C9BF-468A-AB52-003A044AC91B}" name="Total Equity Risk Premium" dataDxfId="11" dataCellStyle="Percent">
      <calculatedColumnFormula>$E$3+F8</calculatedColumnFormula>
    </tableColumn>
    <tableColumn id="6" xr3:uid="{553B4EE7-3366-45E2-919C-1852F0629850}" name="Country Risk Premium" dataDxfId="10">
      <calculatedColumnFormula>IF($E$4="Yes",D8*$E$5,D8)</calculatedColumnFormula>
    </tableColumn>
    <tableColumn id="7" xr3:uid="{542AEABF-6CE3-4437-95B4-76C7BE8BCDF9}" name="Sovereign CDS, net of Swiss CDS" dataDxfId="9">
      <calculatedColumnFormula>VLOOKUP(A8,'[1]10-year CDS Spreads'!$A$2:$D$158,4,FALSE)</calculatedColumnFormula>
    </tableColumn>
    <tableColumn id="8" xr3:uid="{AC57E4D4-935E-4C80-BF4F-F1A2E3C5B6E1}" name="Total Equity Risk Premium2" dataDxfId="8">
      <calculatedColumnFormula>IF(I8="NA","NA",$E$3+I8)</calculatedColumnFormula>
    </tableColumn>
    <tableColumn id="9" xr3:uid="{5B8C6CF5-4C21-48FC-B51A-4ED149E9A220}" name="Country Risk Premium3" dataDxfId="7">
      <calculatedColumnFormula>IF(G8="NA","NA",G8*$E$5)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AB7497-36B2-42DB-A158-1B0B6E6AA370}" name="Table2" displayName="Table2" ref="A166:E187" totalsRowShown="0" headerRowDxfId="6" tableBorderDxfId="5">
  <autoFilter ref="A166:E187" xr:uid="{00000000-0009-0000-0100-000002000000}"/>
  <tableColumns count="5">
    <tableColumn id="1" xr3:uid="{8A06E2BD-28D7-4D9D-9B0E-1B683CDACF19}" name="Country" dataDxfId="4">
      <calculatedColumnFormula>'[1]PRS Worksheet'!A162</calculatedColumnFormula>
    </tableColumn>
    <tableColumn id="2" xr3:uid="{FD9F9FB3-828C-4072-A8E9-681280F2722C}" name="PRS Composite Risk Score" dataDxfId="3">
      <calculatedColumnFormula>'[1]PRS Worksheet'!B162</calculatedColumnFormula>
    </tableColumn>
    <tableColumn id="3" xr3:uid="{07695F3E-203F-49DF-A9B7-C6AA5F00A257}" name="ERP" dataDxfId="2" dataCellStyle="Percent">
      <calculatedColumnFormula>'[1]PRS Worksheet'!E162</calculatedColumnFormula>
    </tableColumn>
    <tableColumn id="4" xr3:uid="{6E6514DB-E4A9-4CFB-A17E-796965EEFBED}" name="CRP" dataDxfId="1" dataCellStyle="Percent">
      <calculatedColumnFormula>'[1]PRS Worksheet'!G162</calculatedColumnFormula>
    </tableColumn>
    <tableColumn id="5" xr3:uid="{9450A884-6207-4322-9CDA-4B5BF216DD8B}" name="Default Spread" dataDxfId="0" dataCellStyle="Percent">
      <calculatedColumnFormula>'[1]PRS Worksheet'!D162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3.bin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  <customProperties>
    <customPr name="OrphanNamesChecke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3E2D9-6920-4069-A268-808E9C4AFD22}">
  <dimension ref="A1:N262"/>
  <sheetViews>
    <sheetView tabSelected="1" workbookViewId="0">
      <selection activeCell="B6" sqref="B6"/>
    </sheetView>
  </sheetViews>
  <sheetFormatPr defaultRowHeight="15"/>
  <cols>
    <col min="1" max="1" width="11.5703125" style="1" bestFit="1" customWidth="1"/>
    <col min="2" max="2" width="9.5703125" style="1" bestFit="1" customWidth="1"/>
    <col min="3" max="5" width="9.140625" style="1"/>
    <col min="6" max="6" width="20.42578125" style="1" bestFit="1" customWidth="1"/>
    <col min="7" max="12" width="9.140625" style="1"/>
    <col min="13" max="13" width="11.5703125" style="1" bestFit="1" customWidth="1"/>
    <col min="14" max="14" width="9.5703125" style="1" bestFit="1" customWidth="1"/>
    <col min="15" max="16384" width="9.140625" style="1"/>
  </cols>
  <sheetData>
    <row r="1" spans="1:14">
      <c r="A1" s="1" t="s">
        <v>2</v>
      </c>
      <c r="M1" s="1" t="s">
        <v>1</v>
      </c>
    </row>
    <row r="2" spans="1:14">
      <c r="A2" s="3">
        <v>45961</v>
      </c>
      <c r="B2" s="2">
        <v>0</v>
      </c>
      <c r="E2" s="1" t="s">
        <v>0</v>
      </c>
      <c r="F2" s="4">
        <f>_xlfn.COVARIANCE.S(B2:B262,N2:N262)/_xlfn.VAR.S(N2:N262)</f>
        <v>0.88044934984724577</v>
      </c>
      <c r="M2" s="3">
        <v>45961</v>
      </c>
      <c r="N2" s="2">
        <v>5.0632911392405801E-3</v>
      </c>
    </row>
    <row r="3" spans="1:14">
      <c r="A3" s="3">
        <v>45954</v>
      </c>
      <c r="B3" s="2">
        <v>0</v>
      </c>
      <c r="M3" s="3">
        <v>45954</v>
      </c>
      <c r="N3" s="2">
        <v>5.0890585241731004E-3</v>
      </c>
    </row>
    <row r="4" spans="1:14">
      <c r="A4" s="3">
        <v>45947</v>
      </c>
      <c r="B4" s="2">
        <v>-6.1349693251532399E-3</v>
      </c>
      <c r="M4" s="3">
        <v>45947</v>
      </c>
      <c r="N4" s="2">
        <v>-7.5757575757576801E-3</v>
      </c>
    </row>
    <row r="5" spans="1:14">
      <c r="A5" s="3">
        <v>45940</v>
      </c>
      <c r="B5" s="2">
        <v>-6.0975609756097598E-3</v>
      </c>
      <c r="M5" s="3">
        <v>45940</v>
      </c>
      <c r="N5" s="2">
        <v>7.6335877862596501E-3</v>
      </c>
    </row>
    <row r="6" spans="1:14">
      <c r="A6" s="3">
        <v>45933</v>
      </c>
      <c r="B6" s="2">
        <v>-6.0606060606060701E-3</v>
      </c>
      <c r="M6" s="3">
        <v>45933</v>
      </c>
      <c r="N6" s="2">
        <v>5.1150895140663899E-3</v>
      </c>
    </row>
    <row r="7" spans="1:14">
      <c r="A7" s="3">
        <v>45926</v>
      </c>
      <c r="B7" s="2">
        <v>-1.7857142857142901E-2</v>
      </c>
      <c r="M7" s="3">
        <v>45926</v>
      </c>
      <c r="N7" s="2">
        <v>-1.0126582278481001E-2</v>
      </c>
    </row>
    <row r="8" spans="1:14">
      <c r="A8" s="3">
        <v>45919</v>
      </c>
      <c r="B8" s="2">
        <v>2.4390243902439001E-2</v>
      </c>
      <c r="M8" s="3">
        <v>45919</v>
      </c>
      <c r="N8" s="2">
        <v>-1.2500000000000001E-2</v>
      </c>
    </row>
    <row r="9" spans="1:14">
      <c r="A9" s="3">
        <v>45912</v>
      </c>
      <c r="B9" s="2">
        <v>-2.6706231454006E-2</v>
      </c>
      <c r="M9" s="3">
        <v>45912</v>
      </c>
      <c r="N9" s="2">
        <v>-2.49376558603495E-3</v>
      </c>
    </row>
    <row r="10" spans="1:14">
      <c r="A10" s="3">
        <v>45905</v>
      </c>
      <c r="B10" s="2">
        <v>2.9761904761905502E-3</v>
      </c>
      <c r="M10" s="3">
        <v>45905</v>
      </c>
      <c r="N10" s="2">
        <v>2.50000000000004E-3</v>
      </c>
    </row>
    <row r="11" spans="1:14">
      <c r="A11" s="3">
        <v>45898</v>
      </c>
      <c r="B11" s="2">
        <v>-5.9171597633136102E-3</v>
      </c>
      <c r="M11" s="3">
        <v>45898</v>
      </c>
      <c r="N11" s="2">
        <v>2.0408163265305999E-2</v>
      </c>
    </row>
    <row r="12" spans="1:14">
      <c r="A12" s="3">
        <v>45891</v>
      </c>
      <c r="B12" s="2">
        <v>-2.9498525073747002E-3</v>
      </c>
      <c r="M12" s="3">
        <v>45891</v>
      </c>
      <c r="N12" s="2">
        <v>-5.54216867469879E-2</v>
      </c>
    </row>
    <row r="13" spans="1:14">
      <c r="A13" s="3">
        <v>45884</v>
      </c>
      <c r="B13" s="2">
        <v>5.9347181008902097E-3</v>
      </c>
      <c r="M13" s="3">
        <v>45884</v>
      </c>
      <c r="N13" s="2">
        <v>-4.1570438799076098E-2</v>
      </c>
    </row>
    <row r="14" spans="1:14">
      <c r="A14" s="3">
        <v>45877</v>
      </c>
      <c r="B14" s="2">
        <v>2.12121212121213E-2</v>
      </c>
      <c r="M14" s="3">
        <v>45877</v>
      </c>
      <c r="N14" s="2">
        <v>9.3240093240092893E-3</v>
      </c>
    </row>
    <row r="15" spans="1:14">
      <c r="A15" s="3">
        <v>45870</v>
      </c>
      <c r="B15" s="2">
        <v>7.8431372549019496E-2</v>
      </c>
      <c r="M15" s="3">
        <v>45870</v>
      </c>
      <c r="N15" s="2">
        <v>0.1171875</v>
      </c>
    </row>
    <row r="16" spans="1:14">
      <c r="A16" s="3">
        <v>45863</v>
      </c>
      <c r="B16" s="2">
        <v>-9.7087378640776101E-3</v>
      </c>
      <c r="M16" s="3">
        <v>45863</v>
      </c>
      <c r="N16" s="2">
        <v>2.6109660574412902E-3</v>
      </c>
    </row>
    <row r="17" spans="1:14">
      <c r="A17" s="3">
        <v>45856</v>
      </c>
      <c r="B17" s="2">
        <v>0</v>
      </c>
      <c r="M17" s="3">
        <v>45856</v>
      </c>
      <c r="N17" s="2">
        <v>2.1333333333333301E-2</v>
      </c>
    </row>
    <row r="18" spans="1:14">
      <c r="A18" s="3">
        <v>45849</v>
      </c>
      <c r="B18" s="2">
        <v>0</v>
      </c>
      <c r="M18" s="3">
        <v>45849</v>
      </c>
      <c r="N18" s="2">
        <v>-5.3050397877984802E-3</v>
      </c>
    </row>
    <row r="19" spans="1:14">
      <c r="A19" s="3">
        <v>45842</v>
      </c>
      <c r="B19" s="2">
        <v>-3.22580645161298E-3</v>
      </c>
      <c r="M19" s="3">
        <v>45842</v>
      </c>
      <c r="N19" s="2">
        <v>-5.2770448548811501E-3</v>
      </c>
    </row>
    <row r="20" spans="1:14">
      <c r="A20" s="3">
        <v>45835</v>
      </c>
      <c r="B20" s="2">
        <v>2.9900332225913699E-2</v>
      </c>
      <c r="M20" s="3">
        <v>45835</v>
      </c>
      <c r="N20" s="2">
        <v>1.06666666666666E-2</v>
      </c>
    </row>
    <row r="21" spans="1:14">
      <c r="A21" s="3">
        <v>45828</v>
      </c>
      <c r="B21" s="2">
        <v>-1.9543973941368101E-2</v>
      </c>
      <c r="M21" s="3">
        <v>45828</v>
      </c>
      <c r="N21" s="2">
        <v>-7.9365079365078597E-3</v>
      </c>
    </row>
    <row r="22" spans="1:14">
      <c r="A22" s="3">
        <v>45821</v>
      </c>
      <c r="B22" s="2">
        <v>-9.6774193548387899E-3</v>
      </c>
      <c r="M22" s="3">
        <v>45821</v>
      </c>
      <c r="N22" s="2">
        <v>-2.63852242744067E-3</v>
      </c>
    </row>
    <row r="23" spans="1:14">
      <c r="A23" s="3">
        <v>45814</v>
      </c>
      <c r="B23" s="2">
        <v>-3.4267912772585597E-2</v>
      </c>
      <c r="M23" s="3">
        <v>45814</v>
      </c>
      <c r="N23" s="2">
        <v>5.3050397877982903E-3</v>
      </c>
    </row>
    <row r="24" spans="1:14">
      <c r="A24" s="3">
        <v>45807</v>
      </c>
      <c r="B24" s="2">
        <v>2.8846153846153799E-2</v>
      </c>
      <c r="M24" s="3">
        <v>45807</v>
      </c>
      <c r="N24" s="2">
        <v>-3.08483290488431E-2</v>
      </c>
    </row>
    <row r="25" spans="1:14">
      <c r="A25" s="3">
        <v>45800</v>
      </c>
      <c r="B25" s="2">
        <v>1.2987012987013E-2</v>
      </c>
      <c r="M25" s="3">
        <v>45800</v>
      </c>
      <c r="N25" s="2">
        <v>2.0997375328083899E-2</v>
      </c>
    </row>
    <row r="26" spans="1:14">
      <c r="A26" s="3">
        <v>45793</v>
      </c>
      <c r="B26" s="2">
        <v>6.9444444444444503E-2</v>
      </c>
      <c r="M26" s="3">
        <v>45793</v>
      </c>
      <c r="N26" s="2">
        <v>2.4193548387096701E-2</v>
      </c>
    </row>
    <row r="27" spans="1:14">
      <c r="A27" s="3">
        <v>45786</v>
      </c>
      <c r="B27" s="2">
        <v>-5.8823529411764802E-2</v>
      </c>
      <c r="M27" s="3">
        <v>45786</v>
      </c>
      <c r="N27" s="2">
        <v>-7.4626865671641798E-2</v>
      </c>
    </row>
    <row r="28" spans="1:14">
      <c r="A28" s="3">
        <v>45779</v>
      </c>
      <c r="B28" s="2">
        <v>-1.6077170418006399E-2</v>
      </c>
      <c r="M28" s="3">
        <v>45779</v>
      </c>
      <c r="N28" s="2">
        <v>-2.4813895781636299E-3</v>
      </c>
    </row>
    <row r="29" spans="1:14">
      <c r="A29" s="3">
        <v>45772</v>
      </c>
      <c r="B29" s="2">
        <v>-1.26984126984127E-2</v>
      </c>
      <c r="M29" s="3">
        <v>45772</v>
      </c>
      <c r="N29" s="2">
        <v>7.4999999999999303E-3</v>
      </c>
    </row>
    <row r="30" spans="1:14">
      <c r="A30" s="3">
        <v>45765</v>
      </c>
      <c r="B30" s="2">
        <v>0</v>
      </c>
      <c r="M30" s="3">
        <v>45765</v>
      </c>
      <c r="N30" s="2">
        <v>-2.4390243902439001E-2</v>
      </c>
    </row>
    <row r="31" spans="1:14">
      <c r="A31" s="3">
        <v>45758</v>
      </c>
      <c r="B31" s="2">
        <v>1.6129032258064498E-2</v>
      </c>
      <c r="M31" s="3">
        <v>45758</v>
      </c>
      <c r="N31" s="2">
        <v>2.2443890274314201E-2</v>
      </c>
    </row>
    <row r="32" spans="1:14">
      <c r="A32" s="3">
        <v>45751</v>
      </c>
      <c r="B32" s="2">
        <v>-1.8987341772151899E-2</v>
      </c>
      <c r="M32" s="3">
        <v>45751</v>
      </c>
      <c r="N32" s="2">
        <v>-1.47420147420148E-2</v>
      </c>
    </row>
    <row r="33" spans="1:14">
      <c r="A33" s="3">
        <v>45744</v>
      </c>
      <c r="B33" s="2">
        <v>-1.8633540372670801E-2</v>
      </c>
      <c r="M33" s="3">
        <v>45744</v>
      </c>
      <c r="N33" s="2">
        <v>9.9255583126552308E-3</v>
      </c>
    </row>
    <row r="34" spans="1:14">
      <c r="A34" s="3">
        <v>45737</v>
      </c>
      <c r="B34" s="2">
        <v>2.54777070063694E-2</v>
      </c>
      <c r="M34" s="3">
        <v>45737</v>
      </c>
      <c r="N34" s="2">
        <v>-1.2391573729864699E-3</v>
      </c>
    </row>
    <row r="35" spans="1:14">
      <c r="A35" s="3">
        <v>45730</v>
      </c>
      <c r="B35" s="2">
        <v>-2.4844720496894401E-2</v>
      </c>
      <c r="M35" s="3">
        <v>45730</v>
      </c>
      <c r="N35" s="2">
        <v>-6.1576354679803002E-3</v>
      </c>
    </row>
    <row r="36" spans="1:14">
      <c r="A36" s="3">
        <v>45723</v>
      </c>
      <c r="B36" s="2">
        <v>-3.8805970149253702E-2</v>
      </c>
      <c r="M36" s="3">
        <v>45723</v>
      </c>
      <c r="N36" s="2">
        <v>-1.33657351154313E-2</v>
      </c>
    </row>
    <row r="37" spans="1:14">
      <c r="A37" s="3">
        <v>45716</v>
      </c>
      <c r="B37" s="2">
        <v>-5.9347181008902097E-3</v>
      </c>
      <c r="M37" s="3">
        <v>45716</v>
      </c>
      <c r="N37" s="2">
        <v>-0.102508178844057</v>
      </c>
    </row>
    <row r="38" spans="1:14">
      <c r="A38" s="3">
        <v>45709</v>
      </c>
      <c r="B38" s="2">
        <v>-2.95857988165674E-3</v>
      </c>
      <c r="M38" s="3">
        <v>45709</v>
      </c>
      <c r="N38" s="2">
        <v>3.1496062992125901E-2</v>
      </c>
    </row>
    <row r="39" spans="1:14">
      <c r="A39" s="3">
        <v>45702</v>
      </c>
      <c r="B39" s="2">
        <v>0</v>
      </c>
      <c r="M39" s="3">
        <v>45702</v>
      </c>
      <c r="N39" s="2">
        <v>3.6130536130536198E-2</v>
      </c>
    </row>
    <row r="40" spans="1:14">
      <c r="A40" s="3">
        <v>45695</v>
      </c>
      <c r="B40" s="2">
        <v>8.9552238805969599E-3</v>
      </c>
      <c r="M40" s="3">
        <v>45695</v>
      </c>
      <c r="N40" s="2">
        <v>2.5089605734767002E-2</v>
      </c>
    </row>
    <row r="41" spans="1:14">
      <c r="A41" s="3">
        <v>45688</v>
      </c>
      <c r="B41" s="2">
        <v>-8.8757396449703607E-3</v>
      </c>
      <c r="M41" s="3">
        <v>45688</v>
      </c>
      <c r="N41" s="2">
        <v>3.8461538461538602E-2</v>
      </c>
    </row>
    <row r="42" spans="1:14">
      <c r="A42" s="3">
        <v>45681</v>
      </c>
      <c r="B42" s="2">
        <v>-2.9498525073747002E-3</v>
      </c>
      <c r="M42" s="3">
        <v>45681</v>
      </c>
      <c r="N42" s="2">
        <v>-2.47524752475251E-3</v>
      </c>
    </row>
    <row r="43" spans="1:14">
      <c r="A43" s="3">
        <v>45674</v>
      </c>
      <c r="B43" s="2">
        <v>8.9285714285714992E-3</v>
      </c>
      <c r="M43" s="3">
        <v>45674</v>
      </c>
      <c r="N43" s="2">
        <v>-1.34310134310135E-2</v>
      </c>
    </row>
    <row r="44" spans="1:14">
      <c r="A44" s="3">
        <v>45667</v>
      </c>
      <c r="B44" s="2">
        <v>-2.6086956521739198E-2</v>
      </c>
      <c r="M44" s="3">
        <v>45667</v>
      </c>
      <c r="N44" s="2">
        <v>-1.20627261761158E-2</v>
      </c>
    </row>
    <row r="45" spans="1:14">
      <c r="A45" s="3">
        <v>45660</v>
      </c>
      <c r="B45" s="2">
        <v>3.9156626506024202E-2</v>
      </c>
      <c r="M45" s="3">
        <v>45660</v>
      </c>
      <c r="N45" s="2">
        <v>1.09756097560976E-2</v>
      </c>
    </row>
    <row r="46" spans="1:14">
      <c r="A46" s="3">
        <v>45653</v>
      </c>
      <c r="B46" s="2">
        <v>-2.0648967551622498E-2</v>
      </c>
      <c r="M46" s="3">
        <v>45653</v>
      </c>
      <c r="N46" s="2">
        <v>7.3710073710073001E-3</v>
      </c>
    </row>
    <row r="47" spans="1:14">
      <c r="A47" s="3">
        <v>45646</v>
      </c>
      <c r="B47" s="2">
        <v>5.9347181008902097E-3</v>
      </c>
      <c r="M47" s="3">
        <v>45646</v>
      </c>
      <c r="N47" s="2">
        <v>-6.00461893764433E-2</v>
      </c>
    </row>
    <row r="48" spans="1:14">
      <c r="A48" s="3">
        <v>45639</v>
      </c>
      <c r="B48" s="2">
        <v>0</v>
      </c>
      <c r="M48" s="3">
        <v>45639</v>
      </c>
      <c r="N48" s="2">
        <v>-6.8807339449542303E-3</v>
      </c>
    </row>
    <row r="49" spans="1:14">
      <c r="A49" s="3">
        <v>45632</v>
      </c>
      <c r="B49" s="2">
        <v>5.9748427672956003E-2</v>
      </c>
      <c r="M49" s="3">
        <v>45632</v>
      </c>
      <c r="N49" s="2">
        <v>6.3414634146341506E-2</v>
      </c>
    </row>
    <row r="50" spans="1:14">
      <c r="A50" s="3">
        <v>45625</v>
      </c>
      <c r="B50" s="2">
        <v>-3.6363636363636299E-2</v>
      </c>
      <c r="M50" s="3">
        <v>45625</v>
      </c>
      <c r="N50" s="2">
        <v>-5.7471264367816098E-2</v>
      </c>
    </row>
    <row r="51" spans="1:14">
      <c r="A51" s="3">
        <v>45618</v>
      </c>
      <c r="B51" s="2">
        <v>4.4303797468354299E-2</v>
      </c>
      <c r="M51" s="3">
        <v>45618</v>
      </c>
      <c r="N51" s="2">
        <v>-2.35690235690235E-2</v>
      </c>
    </row>
    <row r="52" spans="1:14">
      <c r="A52" s="3">
        <v>45611</v>
      </c>
      <c r="B52" s="2">
        <v>-1.2500000000000001E-2</v>
      </c>
      <c r="M52" s="3">
        <v>45611</v>
      </c>
      <c r="N52" s="2">
        <v>-4.5016077170418001E-2</v>
      </c>
    </row>
    <row r="53" spans="1:14">
      <c r="A53" s="3">
        <v>45604</v>
      </c>
      <c r="B53" s="2">
        <v>3.1347962382445899E-3</v>
      </c>
      <c r="M53" s="3">
        <v>45604</v>
      </c>
      <c r="N53" s="2">
        <v>-4.3076923076923103E-2</v>
      </c>
    </row>
    <row r="54" spans="1:14">
      <c r="A54" s="3">
        <v>45597</v>
      </c>
      <c r="B54" s="2">
        <v>-3.12500000000007E-3</v>
      </c>
      <c r="M54" s="3">
        <v>45597</v>
      </c>
      <c r="N54" s="2">
        <v>-5.1020408163265302E-3</v>
      </c>
    </row>
    <row r="55" spans="1:14">
      <c r="A55" s="3">
        <v>45590</v>
      </c>
      <c r="B55" s="2">
        <v>-2.14067278287461E-2</v>
      </c>
      <c r="M55" s="3">
        <v>45590</v>
      </c>
      <c r="N55" s="2">
        <v>-7.0921985815603104E-3</v>
      </c>
    </row>
    <row r="56" spans="1:14">
      <c r="A56" s="3">
        <v>45583</v>
      </c>
      <c r="B56" s="2">
        <v>3.06748466257676E-3</v>
      </c>
      <c r="M56" s="3">
        <v>45583</v>
      </c>
      <c r="N56" s="2">
        <v>-3.0303030303029999E-3</v>
      </c>
    </row>
    <row r="57" spans="1:14">
      <c r="A57" s="3">
        <v>45576</v>
      </c>
      <c r="B57" s="2">
        <v>-3.0581039755352402E-3</v>
      </c>
      <c r="M57" s="3">
        <v>45576</v>
      </c>
      <c r="N57" s="2">
        <v>0</v>
      </c>
    </row>
    <row r="58" spans="1:14">
      <c r="A58" s="3">
        <v>45569</v>
      </c>
      <c r="B58" s="2">
        <v>3.06748466257676E-3</v>
      </c>
      <c r="M58" s="3">
        <v>45569</v>
      </c>
      <c r="N58" s="2">
        <v>-0.01</v>
      </c>
    </row>
    <row r="59" spans="1:14">
      <c r="A59" s="3">
        <v>45562</v>
      </c>
      <c r="B59" s="2">
        <v>-3.0581039755352402E-3</v>
      </c>
      <c r="M59" s="3">
        <v>45562</v>
      </c>
      <c r="N59" s="2">
        <v>2.04081632653061E-2</v>
      </c>
    </row>
    <row r="60" spans="1:14">
      <c r="A60" s="3">
        <v>45555</v>
      </c>
      <c r="B60" s="2">
        <v>-9.0909090909090298E-3</v>
      </c>
      <c r="M60" s="3">
        <v>45555</v>
      </c>
      <c r="N60" s="2">
        <v>-1.40845070422536E-2</v>
      </c>
    </row>
    <row r="61" spans="1:14">
      <c r="A61" s="3">
        <v>45548</v>
      </c>
      <c r="B61" s="2">
        <v>-9.0090090090090801E-3</v>
      </c>
      <c r="M61" s="3">
        <v>45548</v>
      </c>
      <c r="N61" s="2">
        <v>-6.9288389513108506E-2</v>
      </c>
    </row>
    <row r="62" spans="1:14">
      <c r="A62" s="3">
        <v>45541</v>
      </c>
      <c r="B62" s="2">
        <v>-1.18694362017804E-2</v>
      </c>
      <c r="M62" s="3">
        <v>45541</v>
      </c>
      <c r="N62" s="2">
        <v>-7.4960730437338002E-2</v>
      </c>
    </row>
    <row r="63" spans="1:14">
      <c r="A63" s="3">
        <v>45534</v>
      </c>
      <c r="B63" s="2">
        <v>-5.8997050147492703E-3</v>
      </c>
      <c r="M63" s="3">
        <v>45534</v>
      </c>
      <c r="N63" s="2">
        <v>0</v>
      </c>
    </row>
    <row r="64" spans="1:14">
      <c r="A64" s="3">
        <v>45527</v>
      </c>
      <c r="B64" s="2">
        <v>2.9585798816568702E-3</v>
      </c>
      <c r="M64" s="3">
        <v>45527</v>
      </c>
      <c r="N64" s="2">
        <v>-4.7021891687389896E-3</v>
      </c>
    </row>
    <row r="65" spans="1:14">
      <c r="A65" s="3">
        <v>45520</v>
      </c>
      <c r="B65" s="2">
        <v>1.19760479041916E-2</v>
      </c>
      <c r="M65" s="3">
        <v>45520</v>
      </c>
      <c r="N65" s="2">
        <v>4.7244042110489203E-3</v>
      </c>
    </row>
    <row r="66" spans="1:14">
      <c r="A66" s="3">
        <v>45513</v>
      </c>
      <c r="B66" s="2">
        <v>-3.1884057971014602E-2</v>
      </c>
      <c r="M66" s="3">
        <v>45513</v>
      </c>
      <c r="N66" s="2">
        <v>-7.8124914062507904E-3</v>
      </c>
    </row>
    <row r="67" spans="1:14">
      <c r="A67" s="3">
        <v>45506</v>
      </c>
      <c r="B67" s="2">
        <v>-2.5423728813559299E-2</v>
      </c>
      <c r="M67" s="3">
        <v>45506</v>
      </c>
      <c r="N67" s="2">
        <v>1.5649435027834599E-3</v>
      </c>
    </row>
    <row r="68" spans="1:14">
      <c r="A68" s="3">
        <v>45499</v>
      </c>
      <c r="B68" s="2">
        <v>-1.11731843575419E-2</v>
      </c>
      <c r="M68" s="3">
        <v>45499</v>
      </c>
      <c r="N68" s="2">
        <v>-1.5624982812501101E-3</v>
      </c>
    </row>
    <row r="69" spans="1:14">
      <c r="A69" s="3">
        <v>45492</v>
      </c>
      <c r="B69" s="2">
        <v>4.0697674418604703E-2</v>
      </c>
      <c r="M69" s="3">
        <v>45492</v>
      </c>
      <c r="N69" s="2">
        <v>0</v>
      </c>
    </row>
    <row r="70" spans="1:14">
      <c r="A70" s="3">
        <v>45485</v>
      </c>
      <c r="B70" s="2">
        <v>-1.9943019943019901E-2</v>
      </c>
      <c r="M70" s="3">
        <v>45485</v>
      </c>
      <c r="N70" s="2">
        <v>0</v>
      </c>
    </row>
    <row r="71" spans="1:14">
      <c r="A71" s="3">
        <v>45478</v>
      </c>
      <c r="B71" s="2">
        <v>5.7306590257878397E-3</v>
      </c>
      <c r="M71" s="3">
        <v>45478</v>
      </c>
      <c r="N71" s="2">
        <v>0</v>
      </c>
    </row>
    <row r="72" spans="1:14">
      <c r="A72" s="3">
        <v>45471</v>
      </c>
      <c r="B72" s="2">
        <v>-4.9046321525885499E-2</v>
      </c>
      <c r="M72" s="3">
        <v>45471</v>
      </c>
      <c r="N72" s="2">
        <v>-6.2111733343627297E-3</v>
      </c>
    </row>
    <row r="73" spans="1:14">
      <c r="A73" s="3">
        <v>45464</v>
      </c>
      <c r="B73" s="2">
        <v>-5.4123711340206201E-2</v>
      </c>
      <c r="M73" s="3">
        <v>45464</v>
      </c>
      <c r="N73" s="2">
        <v>6.2499931250006796E-3</v>
      </c>
    </row>
    <row r="74" spans="1:14">
      <c r="A74" s="3">
        <v>45457</v>
      </c>
      <c r="B74" s="2">
        <v>0.13782991202346001</v>
      </c>
      <c r="M74" s="3">
        <v>45457</v>
      </c>
      <c r="N74" s="2">
        <v>3.1347927791593598E-3</v>
      </c>
    </row>
    <row r="75" spans="1:14">
      <c r="A75" s="3">
        <v>45450</v>
      </c>
      <c r="B75" s="2">
        <v>-1.7291066282420799E-2</v>
      </c>
      <c r="M75" s="3">
        <v>45450</v>
      </c>
      <c r="N75" s="2">
        <v>-3.1249965625003398E-3</v>
      </c>
    </row>
    <row r="76" spans="1:14">
      <c r="A76" s="3">
        <v>45443</v>
      </c>
      <c r="B76" s="2">
        <v>3.2738095238095302E-2</v>
      </c>
      <c r="M76" s="3">
        <v>45443</v>
      </c>
      <c r="N76" s="2">
        <v>-4.6656247517837101E-3</v>
      </c>
    </row>
    <row r="77" spans="1:14">
      <c r="A77" s="3">
        <v>45436</v>
      </c>
      <c r="B77" s="2">
        <v>-2.32558139534884E-2</v>
      </c>
      <c r="M77" s="3">
        <v>45436</v>
      </c>
      <c r="N77" s="2">
        <v>-1.07692358461533E-2</v>
      </c>
    </row>
    <row r="78" spans="1:14">
      <c r="A78" s="3">
        <v>45429</v>
      </c>
      <c r="B78" s="2">
        <v>-4.4444444444444502E-2</v>
      </c>
      <c r="M78" s="3">
        <v>45429</v>
      </c>
      <c r="N78" s="2">
        <v>1.2461062659523601E-2</v>
      </c>
    </row>
    <row r="79" spans="1:14">
      <c r="A79" s="3">
        <v>45422</v>
      </c>
      <c r="B79" s="2">
        <v>-5.2631578947368397E-2</v>
      </c>
      <c r="M79" s="3">
        <v>45422</v>
      </c>
      <c r="N79" s="2">
        <v>-6.1919606389392598E-3</v>
      </c>
    </row>
    <row r="80" spans="1:14">
      <c r="A80" s="3">
        <v>45415</v>
      </c>
      <c r="B80" s="2">
        <v>2.6385224274405798E-3</v>
      </c>
      <c r="M80" s="3">
        <v>45415</v>
      </c>
      <c r="N80" s="2">
        <v>-3.0864163475464502E-3</v>
      </c>
    </row>
    <row r="81" spans="1:14">
      <c r="A81" s="3">
        <v>45408</v>
      </c>
      <c r="B81" s="2">
        <v>1.88172043010752E-2</v>
      </c>
      <c r="M81" s="3">
        <v>45408</v>
      </c>
      <c r="N81" s="2">
        <v>1.09204419844183E-2</v>
      </c>
    </row>
    <row r="82" spans="1:14">
      <c r="A82" s="3">
        <v>45401</v>
      </c>
      <c r="B82" s="2">
        <v>-3.1249999999999899E-2</v>
      </c>
      <c r="M82" s="3">
        <v>45401</v>
      </c>
      <c r="N82" s="2">
        <v>-1.23266597633905E-2</v>
      </c>
    </row>
    <row r="83" spans="1:14">
      <c r="A83" s="3">
        <v>45394</v>
      </c>
      <c r="B83" s="2">
        <v>-5.1813471502590702E-3</v>
      </c>
      <c r="M83" s="3">
        <v>45394</v>
      </c>
      <c r="N83" s="2">
        <v>3.0911866921163899E-3</v>
      </c>
    </row>
    <row r="84" spans="1:14">
      <c r="A84" s="3">
        <v>45387</v>
      </c>
      <c r="B84" s="2">
        <v>1.04712041884817E-2</v>
      </c>
      <c r="M84" s="3">
        <v>45387</v>
      </c>
      <c r="N84" s="2">
        <v>4.6583970815158096E-3</v>
      </c>
    </row>
    <row r="85" spans="1:14">
      <c r="A85" s="3">
        <v>45380</v>
      </c>
      <c r="B85" s="2">
        <v>-3.0456852791878201E-2</v>
      </c>
      <c r="M85" s="3">
        <v>45380</v>
      </c>
      <c r="N85" s="2">
        <v>2.54776964075632E-2</v>
      </c>
    </row>
    <row r="86" spans="1:14">
      <c r="A86" s="3">
        <v>45373</v>
      </c>
      <c r="B86" s="2">
        <v>-9.6330275229357901E-2</v>
      </c>
      <c r="M86" s="3">
        <v>45373</v>
      </c>
      <c r="N86" s="2">
        <v>-2.1806846803700101E-2</v>
      </c>
    </row>
    <row r="87" spans="1:14">
      <c r="A87" s="3">
        <v>45366</v>
      </c>
      <c r="B87" s="2">
        <v>-1.8018018018018001E-2</v>
      </c>
      <c r="M87" s="3">
        <v>45366</v>
      </c>
      <c r="N87" s="2">
        <v>-3.1055866671813601E-3</v>
      </c>
    </row>
    <row r="88" spans="1:14">
      <c r="A88" s="3">
        <v>45359</v>
      </c>
      <c r="B88" s="2">
        <v>-1.76991150442476E-2</v>
      </c>
      <c r="M88" s="3">
        <v>45359</v>
      </c>
      <c r="N88" s="2">
        <v>-1.8292696218767199E-2</v>
      </c>
    </row>
    <row r="89" spans="1:14">
      <c r="A89" s="3">
        <v>45352</v>
      </c>
      <c r="B89" s="2">
        <v>3.6697247706421798E-2</v>
      </c>
      <c r="M89" s="3">
        <v>45352</v>
      </c>
      <c r="N89" s="2">
        <v>3.0581174517657602E-3</v>
      </c>
    </row>
    <row r="90" spans="1:14">
      <c r="A90" s="3">
        <v>45345</v>
      </c>
      <c r="B90" s="2">
        <v>-9.0909090909090991E-3</v>
      </c>
      <c r="M90" s="3">
        <v>45345</v>
      </c>
      <c r="N90" s="2">
        <v>-2.09580936435502E-2</v>
      </c>
    </row>
    <row r="91" spans="1:14">
      <c r="A91" s="3">
        <v>45338</v>
      </c>
      <c r="B91" s="2">
        <v>0</v>
      </c>
      <c r="M91" s="3">
        <v>45338</v>
      </c>
      <c r="N91" s="2">
        <v>3.0029996798603899E-3</v>
      </c>
    </row>
    <row r="92" spans="1:14">
      <c r="A92" s="3">
        <v>45331</v>
      </c>
      <c r="B92" s="2">
        <v>-4.3478260869565098E-2</v>
      </c>
      <c r="M92" s="3">
        <v>45331</v>
      </c>
      <c r="N92" s="2">
        <v>9.0909157575751603E-3</v>
      </c>
    </row>
    <row r="93" spans="1:14">
      <c r="A93" s="3">
        <v>45324</v>
      </c>
      <c r="B93" s="2">
        <v>-8.0000000000000099E-2</v>
      </c>
      <c r="M93" s="3">
        <v>45324</v>
      </c>
      <c r="N93" s="2">
        <v>6.0975542273951199E-3</v>
      </c>
    </row>
    <row r="94" spans="1:14">
      <c r="A94" s="3">
        <v>45317</v>
      </c>
      <c r="B94" s="2">
        <v>0</v>
      </c>
      <c r="M94" s="3">
        <v>45317</v>
      </c>
      <c r="N94" s="2">
        <v>-1.20481795979109E-2</v>
      </c>
    </row>
    <row r="95" spans="1:14">
      <c r="A95" s="3">
        <v>45310</v>
      </c>
      <c r="B95" s="2">
        <v>-6.0150375939849697E-2</v>
      </c>
      <c r="M95" s="3">
        <v>45310</v>
      </c>
      <c r="N95" s="2">
        <v>-8.9552304477605992E-3</v>
      </c>
    </row>
    <row r="96" spans="1:14">
      <c r="A96" s="3">
        <v>45303</v>
      </c>
      <c r="B96" s="2">
        <v>0.23148148148148101</v>
      </c>
      <c r="M96" s="3">
        <v>45303</v>
      </c>
      <c r="N96" s="2">
        <v>2.13414565641739E-2</v>
      </c>
    </row>
    <row r="97" spans="1:14">
      <c r="A97" s="3">
        <v>45296</v>
      </c>
      <c r="B97" s="2">
        <v>-1.8181818181818198E-2</v>
      </c>
      <c r="M97" s="3">
        <v>45296</v>
      </c>
      <c r="N97" s="2">
        <v>0</v>
      </c>
    </row>
    <row r="98" spans="1:14">
      <c r="A98" s="3">
        <v>45289</v>
      </c>
      <c r="B98" s="2">
        <v>6.7961165048543701E-2</v>
      </c>
      <c r="M98" s="3">
        <v>45289</v>
      </c>
      <c r="N98" s="2">
        <v>1.86335541645757E-2</v>
      </c>
    </row>
    <row r="99" spans="1:14">
      <c r="A99" s="3">
        <v>45282</v>
      </c>
      <c r="B99" s="2">
        <v>-4.6296296296296301E-2</v>
      </c>
      <c r="M99" s="3">
        <v>45282</v>
      </c>
      <c r="N99" s="2">
        <v>-4.7337290816146599E-2</v>
      </c>
    </row>
    <row r="100" spans="1:14">
      <c r="A100" s="3">
        <v>45275</v>
      </c>
      <c r="B100" s="2">
        <v>6.9306930693069396E-2</v>
      </c>
      <c r="M100" s="3">
        <v>45275</v>
      </c>
      <c r="N100" s="2">
        <v>-5.8823464705888796E-3</v>
      </c>
    </row>
    <row r="101" spans="1:14">
      <c r="A101" s="3">
        <v>45268</v>
      </c>
      <c r="B101" s="2">
        <v>0.01</v>
      </c>
      <c r="M101" s="3">
        <v>45268</v>
      </c>
      <c r="N101" s="2">
        <v>8.62619731956034E-2</v>
      </c>
    </row>
    <row r="102" spans="1:14">
      <c r="A102" s="3">
        <v>45261</v>
      </c>
      <c r="B102" s="2">
        <v>0</v>
      </c>
      <c r="M102" s="3">
        <v>45261</v>
      </c>
      <c r="N102" s="2">
        <v>4.6822745981588303E-2</v>
      </c>
    </row>
    <row r="103" spans="1:14">
      <c r="A103" s="3">
        <v>45254</v>
      </c>
      <c r="B103" s="2">
        <v>-7.4074074074074098E-2</v>
      </c>
      <c r="M103" s="3">
        <v>45254</v>
      </c>
      <c r="N103" s="2">
        <v>-6.8535818926447403E-2</v>
      </c>
    </row>
    <row r="104" spans="1:14">
      <c r="A104" s="3">
        <v>45247</v>
      </c>
      <c r="B104" s="2">
        <v>-2.7027027027027001E-2</v>
      </c>
      <c r="M104" s="3">
        <v>45247</v>
      </c>
      <c r="N104" s="2">
        <v>-6.1919606389392598E-3</v>
      </c>
    </row>
    <row r="105" spans="1:14">
      <c r="A105" s="3">
        <v>45240</v>
      </c>
      <c r="B105" s="2">
        <v>-1.76991150442476E-2</v>
      </c>
      <c r="M105" s="3">
        <v>45240</v>
      </c>
      <c r="N105" s="2">
        <v>-7.1839080005614994E-2</v>
      </c>
    </row>
    <row r="106" spans="1:14">
      <c r="A106" s="3">
        <v>45233</v>
      </c>
      <c r="B106" s="2">
        <v>-8.8709677419354899E-2</v>
      </c>
      <c r="M106" s="3">
        <v>45233</v>
      </c>
      <c r="N106" s="2">
        <v>-1.9718303661972501E-2</v>
      </c>
    </row>
    <row r="107" spans="1:14">
      <c r="A107" s="3">
        <v>45226</v>
      </c>
      <c r="B107" s="2">
        <v>-2.3622047244094498E-2</v>
      </c>
      <c r="M107" s="3">
        <v>45226</v>
      </c>
      <c r="N107" s="2">
        <v>-1.6620495618511401E-2</v>
      </c>
    </row>
    <row r="108" spans="1:14">
      <c r="A108" s="3">
        <v>45219</v>
      </c>
      <c r="B108" s="2">
        <v>3.2520325203252098E-2</v>
      </c>
      <c r="M108" s="3">
        <v>45219</v>
      </c>
      <c r="N108" s="2">
        <v>3.1428568285714602E-2</v>
      </c>
    </row>
    <row r="109" spans="1:14">
      <c r="A109" s="3">
        <v>45212</v>
      </c>
      <c r="B109" s="2">
        <v>-8.2089552238805999E-2</v>
      </c>
      <c r="M109" s="3">
        <v>45212</v>
      </c>
      <c r="N109" s="2">
        <v>0</v>
      </c>
    </row>
    <row r="110" spans="1:14">
      <c r="A110" s="3">
        <v>45205</v>
      </c>
      <c r="B110" s="2">
        <v>-5.6338028169014003E-2</v>
      </c>
      <c r="M110" s="3">
        <v>45205</v>
      </c>
      <c r="N110" s="2">
        <v>6.38297836771652E-2</v>
      </c>
    </row>
    <row r="111" spans="1:14">
      <c r="A111" s="3">
        <v>45198</v>
      </c>
      <c r="B111" s="2">
        <v>2.15827338129497E-2</v>
      </c>
      <c r="M111" s="3">
        <v>45198</v>
      </c>
      <c r="N111" s="2">
        <v>0.119047618602203</v>
      </c>
    </row>
    <row r="112" spans="1:14">
      <c r="A112" s="3">
        <v>45191</v>
      </c>
      <c r="B112" s="2">
        <v>-2.1126760563380299E-2</v>
      </c>
      <c r="M112" s="3">
        <v>45191</v>
      </c>
      <c r="N112" s="2">
        <v>9.2936802593938897E-2</v>
      </c>
    </row>
    <row r="113" spans="1:14">
      <c r="A113" s="3">
        <v>45184</v>
      </c>
      <c r="B113" s="2">
        <v>7.5757575757575593E-2</v>
      </c>
      <c r="M113" s="3">
        <v>45184</v>
      </c>
      <c r="N113" s="2">
        <v>3.06513495544684E-2</v>
      </c>
    </row>
    <row r="114" spans="1:14">
      <c r="A114" s="3">
        <v>45177</v>
      </c>
      <c r="B114" s="2">
        <v>-7.5187969924812104E-3</v>
      </c>
      <c r="M114" s="3">
        <v>45177</v>
      </c>
      <c r="N114" s="2">
        <v>-3.8167897267062799E-3</v>
      </c>
    </row>
    <row r="115" spans="1:14">
      <c r="A115" s="3">
        <v>45170</v>
      </c>
      <c r="B115" s="2">
        <v>0.266666666666667</v>
      </c>
      <c r="M115" s="3">
        <v>45170</v>
      </c>
      <c r="N115" s="2">
        <v>0</v>
      </c>
    </row>
    <row r="116" spans="1:14">
      <c r="A116" s="3">
        <v>45163</v>
      </c>
      <c r="B116" s="2">
        <v>2.9411764705882401E-2</v>
      </c>
      <c r="M116" s="3">
        <v>45163</v>
      </c>
      <c r="N116" s="2">
        <v>1.9455253084830901E-2</v>
      </c>
    </row>
    <row r="117" spans="1:14">
      <c r="A117" s="3">
        <v>45156</v>
      </c>
      <c r="B117" s="2">
        <v>-0.105263157894737</v>
      </c>
      <c r="M117" s="3">
        <v>45156</v>
      </c>
      <c r="N117" s="2">
        <v>-7.7220204305229103E-3</v>
      </c>
    </row>
    <row r="118" spans="1:14">
      <c r="A118" s="3">
        <v>45149</v>
      </c>
      <c r="B118" s="2">
        <v>0.9</v>
      </c>
      <c r="M118" s="3">
        <v>45149</v>
      </c>
      <c r="N118" s="2">
        <v>-1.14503691801188E-2</v>
      </c>
    </row>
    <row r="119" spans="1:14">
      <c r="A119" s="3">
        <v>45142</v>
      </c>
      <c r="B119" s="2">
        <v>-0.29878034528055802</v>
      </c>
      <c r="M119" s="3">
        <v>45142</v>
      </c>
      <c r="N119" s="2">
        <v>-9.9656361545092401E-2</v>
      </c>
    </row>
    <row r="120" spans="1:14">
      <c r="A120" s="3">
        <v>45135</v>
      </c>
      <c r="B120" s="2">
        <v>-0.122994674330601</v>
      </c>
      <c r="M120" s="3">
        <v>45135</v>
      </c>
      <c r="N120" s="2">
        <v>0</v>
      </c>
    </row>
    <row r="121" spans="1:14">
      <c r="A121" s="3">
        <v>45128</v>
      </c>
      <c r="B121" s="2">
        <v>0.183544561001277</v>
      </c>
      <c r="M121" s="3">
        <v>45128</v>
      </c>
      <c r="N121" s="2">
        <v>2.1052627719298601E-2</v>
      </c>
    </row>
    <row r="122" spans="1:14">
      <c r="A122" s="3">
        <v>45121</v>
      </c>
      <c r="B122" s="2">
        <v>0.96273214285714304</v>
      </c>
      <c r="M122" s="3">
        <v>45121</v>
      </c>
      <c r="N122" s="2">
        <v>6.7415739132263605E-2</v>
      </c>
    </row>
    <row r="123" spans="1:14">
      <c r="A123" s="3">
        <v>45114</v>
      </c>
      <c r="B123" s="2">
        <v>0.298388143861406</v>
      </c>
      <c r="M123" s="3">
        <v>45114</v>
      </c>
      <c r="N123" s="2">
        <v>6.7999991200000998E-2</v>
      </c>
    </row>
    <row r="124" spans="1:14">
      <c r="A124" s="3">
        <v>45107</v>
      </c>
      <c r="B124" s="2">
        <v>-8.0009322665424501E-3</v>
      </c>
      <c r="M124" s="3">
        <v>45107</v>
      </c>
      <c r="N124" s="2">
        <v>5.4852330466982603E-2</v>
      </c>
    </row>
    <row r="125" spans="1:14">
      <c r="A125" s="3">
        <v>45100</v>
      </c>
      <c r="B125" s="2">
        <v>7.7587047290475997E-2</v>
      </c>
      <c r="M125" s="3">
        <v>45100</v>
      </c>
      <c r="N125" s="2">
        <v>-1.04384248194513E-2</v>
      </c>
    </row>
    <row r="126" spans="1:14">
      <c r="A126" s="3">
        <v>45093</v>
      </c>
      <c r="B126" s="2">
        <v>-2.5209826871691099E-2</v>
      </c>
      <c r="M126" s="3">
        <v>45093</v>
      </c>
      <c r="N126" s="2">
        <v>4.1304350217391199E-2</v>
      </c>
    </row>
    <row r="127" spans="1:14">
      <c r="A127" s="3">
        <v>45086</v>
      </c>
      <c r="B127" s="2">
        <v>0.178217915727309</v>
      </c>
      <c r="M127" s="3">
        <v>45086</v>
      </c>
      <c r="N127" s="2">
        <v>2.4498883904346E-2</v>
      </c>
    </row>
    <row r="128" spans="1:14">
      <c r="A128" s="3">
        <v>45079</v>
      </c>
      <c r="B128" s="2">
        <v>0.14124213029438701</v>
      </c>
      <c r="M128" s="3">
        <v>45079</v>
      </c>
      <c r="N128" s="2">
        <v>-2.3913041086956799E-2</v>
      </c>
    </row>
    <row r="129" spans="1:14">
      <c r="A129" s="3">
        <v>45072</v>
      </c>
      <c r="B129" s="2">
        <v>5.6824864417485896E-3</v>
      </c>
      <c r="M129" s="3">
        <v>45072</v>
      </c>
      <c r="N129" s="2">
        <v>1.769911999765E-2</v>
      </c>
    </row>
    <row r="130" spans="1:14">
      <c r="A130" s="3">
        <v>45065</v>
      </c>
      <c r="B130" s="2">
        <v>6.6665117845899999E-2</v>
      </c>
      <c r="M130" s="3">
        <v>45065</v>
      </c>
      <c r="N130" s="2">
        <v>1.1185669939793899E-2</v>
      </c>
    </row>
    <row r="131" spans="1:14">
      <c r="A131" s="3">
        <v>45058</v>
      </c>
      <c r="B131" s="2">
        <v>-5.1723568172755599E-2</v>
      </c>
      <c r="M131" s="3">
        <v>45058</v>
      </c>
      <c r="N131" s="2">
        <v>-3.8709681692680797E-2</v>
      </c>
    </row>
    <row r="132" spans="1:14">
      <c r="A132" s="3">
        <v>45051</v>
      </c>
      <c r="B132" s="2">
        <v>-5.7149491152671096E-3</v>
      </c>
      <c r="M132" s="3">
        <v>45051</v>
      </c>
      <c r="N132" s="2">
        <v>-1.0638286170213999E-2</v>
      </c>
    </row>
    <row r="133" spans="1:14">
      <c r="A133" s="3">
        <v>45044</v>
      </c>
      <c r="B133" s="2">
        <v>-1.12985907623138E-2</v>
      </c>
      <c r="M133" s="3">
        <v>45044</v>
      </c>
      <c r="N133" s="2">
        <v>1.29310440881383E-2</v>
      </c>
    </row>
    <row r="134" spans="1:14">
      <c r="A134" s="3">
        <v>45037</v>
      </c>
      <c r="B134" s="2">
        <v>5.6824864417485896E-3</v>
      </c>
      <c r="M134" s="3">
        <v>45037</v>
      </c>
      <c r="N134" s="2">
        <v>-1.6949157282389798E-2</v>
      </c>
    </row>
    <row r="135" spans="1:14">
      <c r="A135" s="3">
        <v>45030</v>
      </c>
      <c r="B135" s="2">
        <v>0</v>
      </c>
      <c r="M135" s="3">
        <v>45030</v>
      </c>
      <c r="N135" s="2">
        <v>4.2553144680855699E-3</v>
      </c>
    </row>
    <row r="136" spans="1:14">
      <c r="A136" s="3">
        <v>45023</v>
      </c>
      <c r="B136" s="2">
        <v>0</v>
      </c>
      <c r="M136" s="3">
        <v>45023</v>
      </c>
      <c r="N136" s="2">
        <v>-4.2372834943267797E-3</v>
      </c>
    </row>
    <row r="137" spans="1:14">
      <c r="A137" s="3">
        <v>45016</v>
      </c>
      <c r="B137" s="2">
        <v>0</v>
      </c>
      <c r="M137" s="3">
        <v>45016</v>
      </c>
      <c r="N137" s="2">
        <v>5.1224936845552203E-2</v>
      </c>
    </row>
    <row r="138" spans="1:14">
      <c r="A138" s="3">
        <v>45009</v>
      </c>
      <c r="B138" s="2">
        <v>-1.12372617088907E-2</v>
      </c>
      <c r="M138" s="3">
        <v>45009</v>
      </c>
      <c r="N138" s="2">
        <v>5.8962277734512701E-2</v>
      </c>
    </row>
    <row r="139" spans="1:14">
      <c r="A139" s="3">
        <v>45002</v>
      </c>
      <c r="B139" s="2">
        <v>-5.5851086612014799E-3</v>
      </c>
      <c r="M139" s="3">
        <v>45002</v>
      </c>
      <c r="N139" s="2">
        <v>-1.3953498604650101E-2</v>
      </c>
    </row>
    <row r="140" spans="1:14">
      <c r="A140" s="3">
        <v>44995</v>
      </c>
      <c r="B140" s="2">
        <v>0</v>
      </c>
      <c r="M140" s="3">
        <v>44995</v>
      </c>
      <c r="N140" s="2">
        <v>1.6548471287493201E-2</v>
      </c>
    </row>
    <row r="141" spans="1:14">
      <c r="A141" s="3">
        <v>44988</v>
      </c>
      <c r="B141" s="2">
        <v>0</v>
      </c>
      <c r="M141" s="3">
        <v>44988</v>
      </c>
      <c r="N141" s="2">
        <v>3.1707309024390999E-2</v>
      </c>
    </row>
    <row r="142" spans="1:14">
      <c r="A142" s="3">
        <v>44981</v>
      </c>
      <c r="B142" s="2">
        <v>0</v>
      </c>
      <c r="M142" s="3">
        <v>44981</v>
      </c>
      <c r="N142" s="2">
        <v>1.2345665264442999E-2</v>
      </c>
    </row>
    <row r="143" spans="1:14">
      <c r="A143" s="3">
        <v>44974</v>
      </c>
      <c r="B143" s="2">
        <v>-5.5562062760214801E-3</v>
      </c>
      <c r="M143" s="3">
        <v>44974</v>
      </c>
      <c r="N143" s="2">
        <v>-2.4630514511397102E-3</v>
      </c>
    </row>
    <row r="144" spans="1:14">
      <c r="A144" s="3">
        <v>44967</v>
      </c>
      <c r="B144" s="2">
        <v>2.27277677346286E-2</v>
      </c>
      <c r="M144" s="3">
        <v>44967</v>
      </c>
      <c r="N144" s="2">
        <v>4.9505168855974299E-3</v>
      </c>
    </row>
    <row r="145" spans="1:14">
      <c r="A145" s="3">
        <v>44960</v>
      </c>
      <c r="B145" s="2">
        <v>2.3254051741045199E-2</v>
      </c>
      <c r="M145" s="3">
        <v>44960</v>
      </c>
      <c r="N145" s="2">
        <v>9.9999890000012897E-3</v>
      </c>
    </row>
    <row r="146" spans="1:14">
      <c r="A146" s="3">
        <v>44953</v>
      </c>
      <c r="B146" s="2">
        <v>-2.2725589702262999E-2</v>
      </c>
      <c r="M146" s="3">
        <v>44953</v>
      </c>
      <c r="N146" s="2">
        <v>1.01009988776668E-2</v>
      </c>
    </row>
    <row r="147" spans="1:14">
      <c r="A147" s="3">
        <v>44946</v>
      </c>
      <c r="B147" s="2">
        <v>0.12101864172964</v>
      </c>
      <c r="M147" s="3">
        <v>44946</v>
      </c>
      <c r="N147" s="2">
        <v>2.8571425306122802E-2</v>
      </c>
    </row>
    <row r="148" spans="1:14">
      <c r="A148" s="3">
        <v>44939</v>
      </c>
      <c r="B148" s="2">
        <v>6.0810128287147699E-2</v>
      </c>
      <c r="M148" s="3">
        <v>44939</v>
      </c>
      <c r="N148" s="2">
        <v>5.76923355874868E-2</v>
      </c>
    </row>
    <row r="149" spans="1:14">
      <c r="A149" s="3">
        <v>44932</v>
      </c>
      <c r="B149" s="2">
        <v>-6.3291231373157897E-2</v>
      </c>
      <c r="M149" s="3">
        <v>44932</v>
      </c>
      <c r="N149" s="2">
        <v>3.1161470262982899E-2</v>
      </c>
    </row>
    <row r="150" spans="1:14">
      <c r="A150" s="3">
        <v>44925</v>
      </c>
      <c r="B150" s="2">
        <v>0</v>
      </c>
      <c r="M150" s="3">
        <v>44925</v>
      </c>
      <c r="N150" s="2">
        <v>-1.39664957242267E-2</v>
      </c>
    </row>
    <row r="151" spans="1:14">
      <c r="A151" s="3">
        <v>44918</v>
      </c>
      <c r="B151" s="2">
        <v>-3.6584966785562403E-2</v>
      </c>
      <c r="M151" s="3">
        <v>44918</v>
      </c>
      <c r="N151" s="2">
        <v>3.4682074125431103E-2</v>
      </c>
    </row>
    <row r="152" spans="1:14">
      <c r="A152" s="3">
        <v>44911</v>
      </c>
      <c r="B152" s="2">
        <v>0</v>
      </c>
      <c r="M152" s="3">
        <v>44911</v>
      </c>
      <c r="N152" s="2">
        <v>1.1695925806229201E-2</v>
      </c>
    </row>
    <row r="153" spans="1:14">
      <c r="A153" s="3">
        <v>44904</v>
      </c>
      <c r="B153" s="2">
        <v>3.7974253591929602E-2</v>
      </c>
      <c r="M153" s="3">
        <v>44904</v>
      </c>
      <c r="N153" s="2">
        <v>3.63636296969704E-2</v>
      </c>
    </row>
    <row r="154" spans="1:14">
      <c r="A154" s="3">
        <v>44897</v>
      </c>
      <c r="B154" s="2">
        <v>6.7567672571208007E-2</v>
      </c>
      <c r="M154" s="3">
        <v>44897</v>
      </c>
      <c r="N154" s="2">
        <v>-1.19760348883083E-2</v>
      </c>
    </row>
    <row r="155" spans="1:14">
      <c r="A155" s="3">
        <v>44890</v>
      </c>
      <c r="B155" s="2">
        <v>-0.10843264987541699</v>
      </c>
      <c r="M155" s="3">
        <v>44890</v>
      </c>
      <c r="N155" s="2">
        <v>-1.4749278713201299E-2</v>
      </c>
    </row>
    <row r="156" spans="1:14">
      <c r="A156" s="3">
        <v>44883</v>
      </c>
      <c r="B156" s="2">
        <v>0.136986732971179</v>
      </c>
      <c r="M156" s="3">
        <v>44883</v>
      </c>
      <c r="N156" s="2">
        <v>8.9285614902221994E-3</v>
      </c>
    </row>
    <row r="157" spans="1:14">
      <c r="A157" s="3">
        <v>44876</v>
      </c>
      <c r="B157" s="2">
        <v>-3.9475741572977001E-2</v>
      </c>
      <c r="M157" s="3">
        <v>44876</v>
      </c>
      <c r="N157" s="2">
        <v>9.0090322214085305E-3</v>
      </c>
    </row>
    <row r="158" spans="1:14">
      <c r="A158" s="3">
        <v>44869</v>
      </c>
      <c r="B158" s="2">
        <v>-7.3169933571124696E-2</v>
      </c>
      <c r="M158" s="3">
        <v>44869</v>
      </c>
      <c r="N158" s="2">
        <v>2.1472368728596199E-2</v>
      </c>
    </row>
    <row r="159" spans="1:14">
      <c r="A159" s="3">
        <v>44862</v>
      </c>
      <c r="B159" s="2">
        <v>-6.8181125171520002E-2</v>
      </c>
      <c r="M159" s="3">
        <v>44862</v>
      </c>
      <c r="N159" s="2">
        <v>-9.1185309725530204E-3</v>
      </c>
    </row>
    <row r="160" spans="1:14">
      <c r="A160" s="3">
        <v>44855</v>
      </c>
      <c r="B160" s="2">
        <v>-5.6503782439863799E-3</v>
      </c>
      <c r="M160" s="3">
        <v>44855</v>
      </c>
      <c r="N160" s="2">
        <v>2.1739140831757101E-2</v>
      </c>
    </row>
    <row r="161" spans="1:14">
      <c r="A161" s="3">
        <v>44848</v>
      </c>
      <c r="B161" s="2">
        <v>-1.6666489197448699E-2</v>
      </c>
      <c r="M161" s="3">
        <v>44848</v>
      </c>
      <c r="N161" s="2">
        <v>-6.1728327998786404E-3</v>
      </c>
    </row>
    <row r="162" spans="1:14">
      <c r="A162" s="3">
        <v>44841</v>
      </c>
      <c r="B162" s="2">
        <v>5.5872501905961797E-3</v>
      </c>
      <c r="M162" s="3">
        <v>44841</v>
      </c>
      <c r="N162" s="2">
        <v>3.0959718582563899E-3</v>
      </c>
    </row>
    <row r="163" spans="1:14">
      <c r="A163" s="3">
        <v>44834</v>
      </c>
      <c r="B163" s="2">
        <v>1.1298590762313701E-2</v>
      </c>
      <c r="M163" s="3">
        <v>44834</v>
      </c>
      <c r="N163" s="2">
        <v>9.3749896875010199E-3</v>
      </c>
    </row>
    <row r="164" spans="1:14">
      <c r="A164" s="3">
        <v>44827</v>
      </c>
      <c r="B164" s="2">
        <v>-1.6666489197448699E-2</v>
      </c>
      <c r="M164" s="3">
        <v>44827</v>
      </c>
      <c r="N164" s="2">
        <v>-9.2879155747691792E-3</v>
      </c>
    </row>
    <row r="165" spans="1:14">
      <c r="A165" s="3">
        <v>44820</v>
      </c>
      <c r="B165" s="2">
        <v>0</v>
      </c>
      <c r="M165" s="3">
        <v>44820</v>
      </c>
      <c r="N165" s="2">
        <v>4.1935473225807499E-2</v>
      </c>
    </row>
    <row r="166" spans="1:14">
      <c r="A166" s="3">
        <v>44813</v>
      </c>
      <c r="B166" s="2">
        <v>5.5872501905961797E-3</v>
      </c>
      <c r="M166" s="3">
        <v>44813</v>
      </c>
      <c r="N166" s="2">
        <v>4.0268448696005502E-2</v>
      </c>
    </row>
    <row r="167" spans="1:14">
      <c r="A167" s="3">
        <v>44806</v>
      </c>
      <c r="B167" s="2">
        <v>-5.5562062760214801E-3</v>
      </c>
      <c r="M167" s="3">
        <v>44806</v>
      </c>
      <c r="N167" s="2">
        <v>0</v>
      </c>
    </row>
    <row r="168" spans="1:14">
      <c r="A168" s="3">
        <v>44799</v>
      </c>
      <c r="B168" s="2">
        <v>0</v>
      </c>
      <c r="M168" s="3">
        <v>44799</v>
      </c>
      <c r="N168" s="2">
        <v>3.4722221956983101E-2</v>
      </c>
    </row>
    <row r="169" spans="1:14">
      <c r="A169" s="3">
        <v>44792</v>
      </c>
      <c r="B169" s="2">
        <v>5.5872501905961797E-3</v>
      </c>
      <c r="M169" s="3">
        <v>44792</v>
      </c>
      <c r="N169" s="2">
        <v>2.8571436428570698E-2</v>
      </c>
    </row>
    <row r="170" spans="1:14">
      <c r="A170" s="3">
        <v>44785</v>
      </c>
      <c r="B170" s="2">
        <v>4.6782354114780197E-2</v>
      </c>
      <c r="M170" s="3">
        <v>44785</v>
      </c>
      <c r="N170" s="2">
        <v>1.44927374501174E-2</v>
      </c>
    </row>
    <row r="171" spans="1:14">
      <c r="A171" s="3">
        <v>44778</v>
      </c>
      <c r="B171" s="2">
        <v>-4.9999467592346102E-2</v>
      </c>
      <c r="M171" s="3">
        <v>44778</v>
      </c>
      <c r="N171" s="2">
        <v>0</v>
      </c>
    </row>
    <row r="172" spans="1:14">
      <c r="A172" s="3">
        <v>44771</v>
      </c>
      <c r="B172" s="2">
        <v>0.13923973855701699</v>
      </c>
      <c r="M172" s="3">
        <v>44771</v>
      </c>
      <c r="N172" s="2">
        <v>-1.4285698571430101E-2</v>
      </c>
    </row>
    <row r="173" spans="1:14">
      <c r="A173" s="3">
        <v>44764</v>
      </c>
      <c r="B173" s="2">
        <v>-0.13186683572671201</v>
      </c>
      <c r="M173" s="3">
        <v>44764</v>
      </c>
      <c r="N173" s="2">
        <v>7.19423663371546E-3</v>
      </c>
    </row>
    <row r="174" spans="1:14">
      <c r="A174" s="3">
        <v>44757</v>
      </c>
      <c r="B174" s="2">
        <v>3.9998072382053898E-2</v>
      </c>
      <c r="M174" s="3">
        <v>44757</v>
      </c>
      <c r="N174" s="2">
        <v>-7.1428492857150598E-3</v>
      </c>
    </row>
    <row r="175" spans="1:14">
      <c r="A175" s="3">
        <v>44750</v>
      </c>
      <c r="B175" s="2">
        <v>-1.6853739006090301E-2</v>
      </c>
      <c r="M175" s="3">
        <v>44750</v>
      </c>
      <c r="N175" s="2">
        <v>-3.5587149605505199E-3</v>
      </c>
    </row>
    <row r="176" spans="1:14">
      <c r="A176" s="3">
        <v>44743</v>
      </c>
      <c r="B176" s="2">
        <v>0.27143040986591499</v>
      </c>
      <c r="M176" s="3">
        <v>44743</v>
      </c>
      <c r="N176" s="2">
        <v>1.4440417156487599E-2</v>
      </c>
    </row>
    <row r="177" spans="1:14">
      <c r="A177" s="3">
        <v>44736</v>
      </c>
      <c r="B177" s="2">
        <v>9.37489705402305E-2</v>
      </c>
      <c r="M177" s="3">
        <v>44736</v>
      </c>
      <c r="N177" s="2">
        <v>-3.59711831685773E-3</v>
      </c>
    </row>
    <row r="178" spans="1:14">
      <c r="A178" s="3">
        <v>44729</v>
      </c>
      <c r="B178" s="2">
        <v>7.8749426508585105E-3</v>
      </c>
      <c r="M178" s="3">
        <v>44729</v>
      </c>
      <c r="N178" s="2">
        <v>-7.1428492857150598E-3</v>
      </c>
    </row>
    <row r="179" spans="1:14">
      <c r="A179" s="3">
        <v>44722</v>
      </c>
      <c r="B179" s="2">
        <v>9.4825335664173796E-2</v>
      </c>
      <c r="M179" s="3">
        <v>44722</v>
      </c>
      <c r="N179" s="2">
        <v>0</v>
      </c>
    </row>
    <row r="180" spans="1:14">
      <c r="A180" s="3">
        <v>44715</v>
      </c>
      <c r="B180" s="2">
        <v>-4.1320821664364502E-2</v>
      </c>
      <c r="M180" s="3">
        <v>44715</v>
      </c>
      <c r="N180" s="2">
        <v>7.19423663371546E-3</v>
      </c>
    </row>
    <row r="181" spans="1:14">
      <c r="A181" s="3">
        <v>44708</v>
      </c>
      <c r="B181" s="2">
        <v>-1.6258971729896099E-2</v>
      </c>
      <c r="M181" s="3">
        <v>44708</v>
      </c>
      <c r="N181" s="2">
        <v>7.2463687250586897E-3</v>
      </c>
    </row>
    <row r="182" spans="1:14">
      <c r="A182" s="3">
        <v>44701</v>
      </c>
      <c r="B182" s="2">
        <v>5.1281547227054802E-2</v>
      </c>
      <c r="M182" s="3">
        <v>44701</v>
      </c>
      <c r="N182" s="2">
        <v>-2.4734955412106401E-2</v>
      </c>
    </row>
    <row r="183" spans="1:14">
      <c r="A183" s="3">
        <v>44694</v>
      </c>
      <c r="B183" s="2">
        <v>-2.4999760416300601E-2</v>
      </c>
      <c r="M183" s="3">
        <v>44694</v>
      </c>
      <c r="N183" s="2">
        <v>1.4336901735590799E-2</v>
      </c>
    </row>
    <row r="184" spans="1:14">
      <c r="A184" s="3">
        <v>44687</v>
      </c>
      <c r="B184" s="2">
        <v>0</v>
      </c>
      <c r="M184" s="3">
        <v>44687</v>
      </c>
      <c r="N184" s="2">
        <v>-3.1250003580728797E-2</v>
      </c>
    </row>
    <row r="185" spans="1:14">
      <c r="A185" s="3">
        <v>44680</v>
      </c>
      <c r="B185" s="2">
        <v>0</v>
      </c>
      <c r="M185" s="3">
        <v>44680</v>
      </c>
      <c r="N185" s="2">
        <v>-1.3698615171703401E-2</v>
      </c>
    </row>
    <row r="186" spans="1:14">
      <c r="A186" s="3">
        <v>44673</v>
      </c>
      <c r="B186" s="2">
        <v>8.4011145650458204E-3</v>
      </c>
      <c r="M186" s="3">
        <v>44673</v>
      </c>
      <c r="N186" s="2">
        <v>1.3888873505017101E-2</v>
      </c>
    </row>
    <row r="187" spans="1:14">
      <c r="A187" s="3">
        <v>44666</v>
      </c>
      <c r="B187" s="2">
        <v>2.5861755598808999E-2</v>
      </c>
      <c r="M187" s="3">
        <v>44666</v>
      </c>
      <c r="N187" s="2">
        <v>4.7272714327274298E-2</v>
      </c>
    </row>
    <row r="188" spans="1:14">
      <c r="A188" s="3">
        <v>44659</v>
      </c>
      <c r="B188" s="2">
        <v>-0.107690266269572</v>
      </c>
      <c r="M188" s="3">
        <v>44659</v>
      </c>
      <c r="N188" s="2">
        <v>-1.4336901735590799E-2</v>
      </c>
    </row>
    <row r="189" spans="1:14">
      <c r="A189" s="3">
        <v>44652</v>
      </c>
      <c r="B189" s="2">
        <v>0.26213267037841997</v>
      </c>
      <c r="M189" s="3">
        <v>44652</v>
      </c>
      <c r="N189" s="2">
        <v>4.1044771677991101E-2</v>
      </c>
    </row>
    <row r="190" spans="1:14">
      <c r="A190" s="3">
        <v>44645</v>
      </c>
      <c r="B190" s="2">
        <v>-6.3633449030513406E-2</v>
      </c>
      <c r="M190" s="3">
        <v>44645</v>
      </c>
      <c r="N190" s="2">
        <v>1.5151540404038299E-2</v>
      </c>
    </row>
    <row r="191" spans="1:14">
      <c r="A191" s="3">
        <v>44638</v>
      </c>
      <c r="B191" s="2">
        <v>0.27906645033608501</v>
      </c>
      <c r="M191" s="3">
        <v>44638</v>
      </c>
      <c r="N191" s="2">
        <v>8.1967214592851306E-2</v>
      </c>
    </row>
    <row r="192" spans="1:14">
      <c r="A192" s="3">
        <v>44631</v>
      </c>
      <c r="B192" s="2">
        <v>-2.71498510465767E-2</v>
      </c>
      <c r="M192" s="3">
        <v>44631</v>
      </c>
      <c r="N192" s="2">
        <v>0</v>
      </c>
    </row>
    <row r="193" spans="1:14">
      <c r="A193" s="3">
        <v>44624</v>
      </c>
      <c r="B193" s="2">
        <v>-9.4262182405178002E-2</v>
      </c>
      <c r="M193" s="3">
        <v>44624</v>
      </c>
      <c r="N193" s="2">
        <v>-4.3137292795074299E-2</v>
      </c>
    </row>
    <row r="194" spans="1:14">
      <c r="A194" s="3">
        <v>44617</v>
      </c>
      <c r="B194" s="2">
        <v>-2.0078821980864199E-2</v>
      </c>
      <c r="M194" s="3">
        <v>44617</v>
      </c>
      <c r="N194" s="2">
        <v>2.00000219999978E-2</v>
      </c>
    </row>
    <row r="195" spans="1:14">
      <c r="A195" s="3">
        <v>44610</v>
      </c>
      <c r="B195" s="2">
        <v>0</v>
      </c>
      <c r="M195" s="3">
        <v>44610</v>
      </c>
      <c r="N195" s="2">
        <v>0</v>
      </c>
    </row>
    <row r="196" spans="1:14">
      <c r="A196" s="3">
        <v>44603</v>
      </c>
      <c r="B196" s="2">
        <v>4.0304038518759596E-3</v>
      </c>
      <c r="M196" s="3">
        <v>44603</v>
      </c>
      <c r="N196" s="2">
        <v>-7.9364992756369608E-3</v>
      </c>
    </row>
    <row r="197" spans="1:14">
      <c r="A197" s="3">
        <v>44596</v>
      </c>
      <c r="B197" s="2">
        <v>4.0506093373528602E-3</v>
      </c>
      <c r="M197" s="3">
        <v>44596</v>
      </c>
      <c r="N197" s="2">
        <v>2.85713965014616E-2</v>
      </c>
    </row>
    <row r="198" spans="1:14">
      <c r="A198" s="3">
        <v>44589</v>
      </c>
      <c r="B198" s="2">
        <v>1.22933596220087E-2</v>
      </c>
      <c r="M198" s="3">
        <v>44589</v>
      </c>
      <c r="N198" s="2">
        <v>-4.2968744964600201E-2</v>
      </c>
    </row>
    <row r="199" spans="1:14">
      <c r="A199" s="3">
        <v>44582</v>
      </c>
      <c r="B199" s="2">
        <v>-8.1302396609218893E-3</v>
      </c>
      <c r="M199" s="3">
        <v>44582</v>
      </c>
      <c r="N199" s="2">
        <v>-1.9157067130549099E-2</v>
      </c>
    </row>
    <row r="200" spans="1:14">
      <c r="A200" s="3">
        <v>44575</v>
      </c>
      <c r="B200" s="2">
        <v>-8.0646719452205293E-3</v>
      </c>
      <c r="M200" s="3">
        <v>44575</v>
      </c>
      <c r="N200" s="2">
        <v>1.55641850141581E-2</v>
      </c>
    </row>
    <row r="201" spans="1:14">
      <c r="A201" s="3">
        <v>44568</v>
      </c>
      <c r="B201" s="2">
        <v>-8.0001533330777991E-3</v>
      </c>
      <c r="M201" s="3">
        <v>44568</v>
      </c>
      <c r="N201" s="2">
        <v>7.8431284582863407E-3</v>
      </c>
    </row>
    <row r="202" spans="1:14">
      <c r="A202" s="3">
        <v>44561</v>
      </c>
      <c r="B202" s="2">
        <v>0</v>
      </c>
      <c r="M202" s="3">
        <v>44561</v>
      </c>
      <c r="N202" s="2">
        <v>3.9370469185906502E-3</v>
      </c>
    </row>
    <row r="203" spans="1:14">
      <c r="A203" s="3">
        <v>44554</v>
      </c>
      <c r="B203" s="2">
        <v>0</v>
      </c>
      <c r="M203" s="3">
        <v>44554</v>
      </c>
      <c r="N203" s="2">
        <v>3.9525648736900097E-3</v>
      </c>
    </row>
    <row r="204" spans="1:14">
      <c r="A204" s="3">
        <v>44547</v>
      </c>
      <c r="B204" s="2">
        <v>2.88091810778302E-2</v>
      </c>
      <c r="M204" s="3">
        <v>44547</v>
      </c>
      <c r="N204" s="2">
        <v>3.9682496378184804E-3</v>
      </c>
    </row>
    <row r="205" spans="1:14">
      <c r="A205" s="3">
        <v>44540</v>
      </c>
      <c r="B205" s="2">
        <v>-1.6194677561409101E-2</v>
      </c>
      <c r="M205" s="3">
        <v>44540</v>
      </c>
      <c r="N205" s="2">
        <v>1.20481794648487E-2</v>
      </c>
    </row>
    <row r="206" spans="1:14">
      <c r="A206" s="3">
        <v>44533</v>
      </c>
      <c r="B206" s="2">
        <v>-7.6634543044459505E-2</v>
      </c>
      <c r="M206" s="3">
        <v>44533</v>
      </c>
      <c r="N206" s="2">
        <v>-7.9681187600205098E-3</v>
      </c>
    </row>
    <row r="207" spans="1:14">
      <c r="A207" s="3">
        <v>44526</v>
      </c>
      <c r="B207" s="2">
        <v>6.9996550005750002E-2</v>
      </c>
      <c r="M207" s="3">
        <v>44526</v>
      </c>
      <c r="N207" s="2">
        <v>-3.9682496378184804E-3</v>
      </c>
    </row>
    <row r="208" spans="1:14">
      <c r="A208" s="3">
        <v>44519</v>
      </c>
      <c r="B208" s="2">
        <v>0</v>
      </c>
      <c r="M208" s="3">
        <v>44519</v>
      </c>
      <c r="N208" s="2">
        <v>-3.9525648736900097E-3</v>
      </c>
    </row>
    <row r="209" spans="1:14">
      <c r="A209" s="3">
        <v>44512</v>
      </c>
      <c r="B209" s="2">
        <v>-7.4072102193874598E-2</v>
      </c>
      <c r="M209" s="3">
        <v>44512</v>
      </c>
      <c r="N209" s="2">
        <v>0</v>
      </c>
    </row>
    <row r="210" spans="1:14">
      <c r="A210" s="3">
        <v>44505</v>
      </c>
      <c r="B210" s="2">
        <v>7.9997700003833397E-2</v>
      </c>
      <c r="M210" s="3">
        <v>44505</v>
      </c>
      <c r="N210" s="2">
        <v>3.9682496378184804E-3</v>
      </c>
    </row>
    <row r="211" spans="1:14">
      <c r="A211" s="3">
        <v>44498</v>
      </c>
      <c r="B211" s="2">
        <v>2.88091810778302E-2</v>
      </c>
      <c r="M211" s="3">
        <v>44498</v>
      </c>
      <c r="N211" s="2">
        <v>-7.8740072230151399E-3</v>
      </c>
    </row>
    <row r="212" spans="1:14">
      <c r="A212" s="3">
        <v>44491</v>
      </c>
      <c r="B212" s="2">
        <v>2.10068130204389E-2</v>
      </c>
      <c r="M212" s="3">
        <v>44491</v>
      </c>
      <c r="N212" s="2">
        <v>3.9525648736900097E-3</v>
      </c>
    </row>
    <row r="213" spans="1:14">
      <c r="A213" s="3">
        <v>44484</v>
      </c>
      <c r="B213" s="2">
        <v>-0.118517493140815</v>
      </c>
      <c r="M213" s="3">
        <v>44484</v>
      </c>
      <c r="N213" s="2">
        <v>1.19999868000013E-2</v>
      </c>
    </row>
    <row r="214" spans="1:14">
      <c r="A214" s="3">
        <v>44477</v>
      </c>
      <c r="B214" s="2">
        <v>7.9997700003833397E-2</v>
      </c>
      <c r="M214" s="3">
        <v>44477</v>
      </c>
      <c r="N214" s="2">
        <v>0</v>
      </c>
    </row>
    <row r="215" spans="1:14">
      <c r="A215" s="3">
        <v>44470</v>
      </c>
      <c r="B215" s="2">
        <v>0</v>
      </c>
      <c r="M215" s="3">
        <v>44470</v>
      </c>
      <c r="N215" s="2">
        <v>8.0645071865254204E-3</v>
      </c>
    </row>
    <row r="216" spans="1:14">
      <c r="A216" s="3">
        <v>44463</v>
      </c>
      <c r="B216" s="2">
        <v>8.6958333333333304E-2</v>
      </c>
      <c r="M216" s="3">
        <v>44463</v>
      </c>
      <c r="N216" s="2">
        <v>1.63934699677484E-2</v>
      </c>
    </row>
    <row r="217" spans="1:14">
      <c r="A217" s="3">
        <v>44456</v>
      </c>
      <c r="B217" s="2">
        <v>8.7721141761903602E-3</v>
      </c>
      <c r="M217" s="3">
        <v>44456</v>
      </c>
      <c r="N217" s="2">
        <v>-8.1301169277504803E-3</v>
      </c>
    </row>
    <row r="218" spans="1:14">
      <c r="A218" s="3">
        <v>44449</v>
      </c>
      <c r="B218" s="2">
        <v>-8.8001686663855494E-2</v>
      </c>
      <c r="M218" s="3">
        <v>44449</v>
      </c>
      <c r="N218" s="2">
        <v>4.0816280716373804E-3</v>
      </c>
    </row>
    <row r="219" spans="1:14">
      <c r="A219" s="3">
        <v>44442</v>
      </c>
      <c r="B219" s="2">
        <v>0</v>
      </c>
      <c r="M219" s="3">
        <v>44442</v>
      </c>
      <c r="N219" s="2">
        <v>0</v>
      </c>
    </row>
    <row r="220" spans="1:14">
      <c r="A220" s="3">
        <v>44435</v>
      </c>
      <c r="B220" s="2">
        <v>0</v>
      </c>
      <c r="M220" s="3">
        <v>44435</v>
      </c>
      <c r="N220" s="2">
        <v>-1.20967607797881E-2</v>
      </c>
    </row>
    <row r="221" spans="1:14">
      <c r="A221" s="3">
        <v>44428</v>
      </c>
      <c r="B221" s="2">
        <v>0</v>
      </c>
      <c r="M221" s="3">
        <v>44428</v>
      </c>
      <c r="N221" s="2">
        <v>8.1300722123085496E-3</v>
      </c>
    </row>
    <row r="222" spans="1:14">
      <c r="A222" s="3">
        <v>44421</v>
      </c>
      <c r="B222" s="2">
        <v>0</v>
      </c>
      <c r="M222" s="3">
        <v>44421</v>
      </c>
      <c r="N222" s="2">
        <v>-1.20481794648487E-2</v>
      </c>
    </row>
    <row r="223" spans="1:14">
      <c r="A223" s="3">
        <v>44414</v>
      </c>
      <c r="B223" s="2">
        <v>4.0180736338934096E-3</v>
      </c>
      <c r="M223" s="3">
        <v>44414</v>
      </c>
      <c r="N223" s="2">
        <v>8.0971569768405003E-3</v>
      </c>
    </row>
    <row r="224" spans="1:14">
      <c r="A224" s="3">
        <v>44407</v>
      </c>
      <c r="B224" s="2">
        <v>8.0973387807045296E-3</v>
      </c>
      <c r="M224" s="3">
        <v>44407</v>
      </c>
      <c r="N224" s="2">
        <v>-1.19999868000013E-2</v>
      </c>
    </row>
    <row r="225" spans="1:14">
      <c r="A225" s="3">
        <v>44400</v>
      </c>
      <c r="B225" s="2">
        <v>5.5554645457747298E-2</v>
      </c>
      <c r="M225" s="3">
        <v>44400</v>
      </c>
      <c r="N225" s="2">
        <v>-1.9607864282965501E-2</v>
      </c>
    </row>
    <row r="226" spans="1:14">
      <c r="A226" s="3">
        <v>44393</v>
      </c>
      <c r="B226" s="2">
        <v>2.6316342528571301E-2</v>
      </c>
      <c r="M226" s="3">
        <v>44393</v>
      </c>
      <c r="N226" s="2">
        <v>-3.90624563598684E-3</v>
      </c>
    </row>
    <row r="227" spans="1:14">
      <c r="A227" s="3">
        <v>44386</v>
      </c>
      <c r="B227" s="2">
        <v>-7.6922778469692102E-2</v>
      </c>
      <c r="M227" s="3">
        <v>44386</v>
      </c>
      <c r="N227" s="2">
        <v>3.9215642291431704E-3</v>
      </c>
    </row>
    <row r="228" spans="1:14">
      <c r="A228" s="3">
        <v>44379</v>
      </c>
      <c r="B228" s="2">
        <v>1.22933596220087E-2</v>
      </c>
      <c r="M228" s="3">
        <v>44379</v>
      </c>
      <c r="N228" s="2">
        <v>1.19047925642452E-2</v>
      </c>
    </row>
    <row r="229" spans="1:14">
      <c r="A229" s="3">
        <v>44372</v>
      </c>
      <c r="B229" s="2">
        <v>4.2735917829088997E-2</v>
      </c>
      <c r="M229" s="3">
        <v>44372</v>
      </c>
      <c r="N229" s="2">
        <v>1.20481794648487E-2</v>
      </c>
    </row>
    <row r="230" spans="1:14">
      <c r="A230" s="3">
        <v>44365</v>
      </c>
      <c r="B230" s="2">
        <v>-1.6807061059481099E-2</v>
      </c>
      <c r="M230" s="3">
        <v>44365</v>
      </c>
      <c r="N230" s="2">
        <v>8.0971569768405003E-3</v>
      </c>
    </row>
    <row r="231" spans="1:14">
      <c r="A231" s="3">
        <v>44358</v>
      </c>
      <c r="B231" s="2">
        <v>5.77767555572593E-2</v>
      </c>
      <c r="M231" s="3">
        <v>44358</v>
      </c>
      <c r="N231" s="2">
        <v>-3.1372556970395003E-2</v>
      </c>
    </row>
    <row r="232" spans="1:14">
      <c r="A232" s="3">
        <v>44351</v>
      </c>
      <c r="B232" s="2">
        <v>-5.8574687939821402E-2</v>
      </c>
      <c r="M232" s="3">
        <v>44351</v>
      </c>
      <c r="N232" s="2">
        <v>-1.54439983900079E-2</v>
      </c>
    </row>
    <row r="233" spans="1:14">
      <c r="A233" s="3">
        <v>44344</v>
      </c>
      <c r="B233" s="2">
        <v>0</v>
      </c>
      <c r="M233" s="3">
        <v>44344</v>
      </c>
      <c r="N233" s="2">
        <v>1.96850613646209E-2</v>
      </c>
    </row>
    <row r="234" spans="1:14">
      <c r="A234" s="3">
        <v>44337</v>
      </c>
      <c r="B234" s="2">
        <v>1.7021658367894599E-2</v>
      </c>
      <c r="M234" s="3">
        <v>44337</v>
      </c>
      <c r="N234" s="2">
        <v>-1.1673181562170201E-2</v>
      </c>
    </row>
    <row r="235" spans="1:14">
      <c r="A235" s="3">
        <v>44330</v>
      </c>
      <c r="B235" s="2">
        <v>-1.6736770773604501E-2</v>
      </c>
      <c r="M235" s="3">
        <v>44330</v>
      </c>
      <c r="N235" s="2">
        <v>-3.7453183057694801E-2</v>
      </c>
    </row>
    <row r="236" spans="1:14">
      <c r="A236" s="3">
        <v>44323</v>
      </c>
      <c r="B236" s="2">
        <v>6.2219155560666699E-2</v>
      </c>
      <c r="M236" s="3">
        <v>44323</v>
      </c>
      <c r="N236" s="2">
        <v>1.5209150761176999E-2</v>
      </c>
    </row>
    <row r="237" spans="1:14">
      <c r="A237" s="3">
        <v>44316</v>
      </c>
      <c r="B237" s="2">
        <v>-4.4227523682715897E-3</v>
      </c>
      <c r="M237" s="3">
        <v>44316</v>
      </c>
      <c r="N237" s="2">
        <v>3.54330758106512E-2</v>
      </c>
    </row>
    <row r="238" spans="1:14">
      <c r="A238" s="3">
        <v>44309</v>
      </c>
      <c r="B238" s="2">
        <v>-5.4392500130317399E-2</v>
      </c>
      <c r="M238" s="3">
        <v>44309</v>
      </c>
      <c r="N238" s="2">
        <v>7.9364992756369608E-3</v>
      </c>
    </row>
    <row r="239" spans="1:14">
      <c r="A239" s="3">
        <v>44302</v>
      </c>
      <c r="B239" s="2">
        <v>0</v>
      </c>
      <c r="M239" s="3">
        <v>44302</v>
      </c>
      <c r="N239" s="2">
        <v>0</v>
      </c>
    </row>
    <row r="240" spans="1:14">
      <c r="A240" s="3">
        <v>44295</v>
      </c>
      <c r="B240" s="2">
        <v>6.2219155560666699E-2</v>
      </c>
      <c r="M240" s="3">
        <v>44295</v>
      </c>
      <c r="N240" s="2">
        <v>7.9999912000008697E-3</v>
      </c>
    </row>
    <row r="241" spans="1:14">
      <c r="A241" s="3">
        <v>44288</v>
      </c>
      <c r="B241" s="2">
        <v>0</v>
      </c>
      <c r="M241" s="3">
        <v>44288</v>
      </c>
      <c r="N241" s="2">
        <v>1.6260144424617099E-2</v>
      </c>
    </row>
    <row r="242" spans="1:14">
      <c r="A242" s="3">
        <v>44281</v>
      </c>
      <c r="B242" s="2">
        <v>1.35159636005733E-2</v>
      </c>
      <c r="M242" s="3">
        <v>44281</v>
      </c>
      <c r="N242" s="2">
        <v>-8.0645071865254204E-3</v>
      </c>
    </row>
    <row r="243" spans="1:14">
      <c r="A243" s="3">
        <v>44274</v>
      </c>
      <c r="B243" s="2">
        <v>-3.0566296724083099E-2</v>
      </c>
      <c r="M243" s="3">
        <v>44274</v>
      </c>
      <c r="N243" s="2">
        <v>1.22448842149121E-2</v>
      </c>
    </row>
    <row r="244" spans="1:14">
      <c r="A244" s="3">
        <v>44267</v>
      </c>
      <c r="B244" s="2">
        <v>-4.3499999999999598E-3</v>
      </c>
      <c r="M244" s="3">
        <v>44267</v>
      </c>
      <c r="N244" s="2">
        <v>-4.06503610615428E-3</v>
      </c>
    </row>
    <row r="245" spans="1:14">
      <c r="A245" s="3">
        <v>44260</v>
      </c>
      <c r="B245" s="2">
        <v>-7.6304911748631798E-2</v>
      </c>
      <c r="M245" s="3">
        <v>44260</v>
      </c>
      <c r="N245" s="2">
        <v>4.0816280716373804E-3</v>
      </c>
    </row>
    <row r="246" spans="1:14">
      <c r="A246" s="3">
        <v>44253</v>
      </c>
      <c r="B246" s="2">
        <v>3.3195746745242199E-2</v>
      </c>
      <c r="M246" s="3">
        <v>44253</v>
      </c>
      <c r="N246" s="2">
        <v>-1.9999978000002201E-2</v>
      </c>
    </row>
    <row r="247" spans="1:14">
      <c r="A247" s="3">
        <v>44246</v>
      </c>
      <c r="B247" s="2">
        <v>6.63709684258732E-2</v>
      </c>
      <c r="M247" s="3">
        <v>44246</v>
      </c>
      <c r="N247" s="2">
        <v>-1.1857694621069999E-2</v>
      </c>
    </row>
    <row r="248" spans="1:14">
      <c r="A248" s="3">
        <v>44239</v>
      </c>
      <c r="B248" s="2">
        <v>2.2622707700046402E-2</v>
      </c>
      <c r="M248" s="3">
        <v>44239</v>
      </c>
      <c r="N248" s="2">
        <v>-1.5564227815709699E-2</v>
      </c>
    </row>
    <row r="249" spans="1:14">
      <c r="A249" s="3">
        <v>44232</v>
      </c>
      <c r="B249" s="2">
        <v>0</v>
      </c>
      <c r="M249" s="3">
        <v>44232</v>
      </c>
      <c r="N249" s="2">
        <v>5.7613196667172302E-2</v>
      </c>
    </row>
    <row r="250" spans="1:14">
      <c r="A250" s="3">
        <v>44225</v>
      </c>
      <c r="B250" s="2">
        <v>-8.9687833052565502E-3</v>
      </c>
      <c r="M250" s="3">
        <v>44225</v>
      </c>
      <c r="N250" s="2">
        <v>-2.40964031063997E-2</v>
      </c>
    </row>
    <row r="251" spans="1:14">
      <c r="A251" s="3">
        <v>44218</v>
      </c>
      <c r="B251" s="2">
        <v>-9.3495808271262498E-2</v>
      </c>
      <c r="M251" s="3">
        <v>44218</v>
      </c>
      <c r="N251" s="2">
        <v>2.8925633734033299E-2</v>
      </c>
    </row>
    <row r="252" spans="1:14">
      <c r="A252" s="3">
        <v>44211</v>
      </c>
      <c r="B252" s="2">
        <v>-4.0467294433516703E-3</v>
      </c>
      <c r="M252" s="3">
        <v>44211</v>
      </c>
      <c r="N252" s="2">
        <v>2.9787200579451799E-2</v>
      </c>
    </row>
    <row r="253" spans="1:14">
      <c r="A253" s="3">
        <v>44204</v>
      </c>
      <c r="B253" s="2">
        <v>7.86044292673128E-2</v>
      </c>
      <c r="M253" s="3">
        <v>44204</v>
      </c>
      <c r="N253" s="2">
        <v>1.7316045969900402E-2</v>
      </c>
    </row>
    <row r="254" spans="1:14">
      <c r="A254" s="3">
        <v>44197</v>
      </c>
      <c r="B254" s="2">
        <v>-6.5307527420086595E-2</v>
      </c>
      <c r="M254" s="3">
        <v>44197</v>
      </c>
      <c r="N254" s="2">
        <v>4.3478213043483E-3</v>
      </c>
    </row>
    <row r="255" spans="1:14">
      <c r="A255" s="3">
        <v>44190</v>
      </c>
      <c r="B255" s="2">
        <v>0</v>
      </c>
      <c r="M255" s="3">
        <v>44190</v>
      </c>
      <c r="N255" s="2">
        <v>0</v>
      </c>
    </row>
    <row r="256" spans="1:14">
      <c r="A256" s="3">
        <v>44183</v>
      </c>
      <c r="B256" s="2">
        <v>0</v>
      </c>
      <c r="M256" s="3">
        <v>44183</v>
      </c>
      <c r="N256" s="2">
        <v>4.3668074026053296E-3</v>
      </c>
    </row>
    <row r="257" spans="1:14">
      <c r="A257" s="3">
        <v>44176</v>
      </c>
      <c r="B257" s="2">
        <v>4.0964773436917602E-3</v>
      </c>
      <c r="M257" s="3">
        <v>44176</v>
      </c>
      <c r="N257" s="2">
        <v>-1.29310203812438E-2</v>
      </c>
    </row>
    <row r="258" spans="1:14">
      <c r="A258" s="3">
        <v>44169</v>
      </c>
      <c r="B258" s="2">
        <v>0</v>
      </c>
      <c r="M258" s="3">
        <v>44169</v>
      </c>
      <c r="N258" s="2">
        <v>2.6548642845958599E-2</v>
      </c>
    </row>
    <row r="259" spans="1:14">
      <c r="A259" s="3">
        <v>44162</v>
      </c>
      <c r="B259" s="2">
        <v>-4.0797646801120904E-3</v>
      </c>
      <c r="M259" s="3">
        <v>44162</v>
      </c>
      <c r="N259" s="2">
        <v>-8.7719200907982308E-3</v>
      </c>
    </row>
    <row r="260" spans="1:14">
      <c r="A260" s="3">
        <v>44155</v>
      </c>
      <c r="B260" s="2">
        <v>-1.20989400385651E-2</v>
      </c>
      <c r="M260" s="3">
        <v>44155</v>
      </c>
      <c r="N260" s="2">
        <v>-8.6956426086966E-3</v>
      </c>
    </row>
    <row r="261" spans="1:14">
      <c r="A261" s="3">
        <v>44148</v>
      </c>
      <c r="B261" s="2">
        <v>0</v>
      </c>
      <c r="M261" s="3">
        <v>44148</v>
      </c>
      <c r="N261" s="2">
        <v>0</v>
      </c>
    </row>
    <row r="262" spans="1:14">
      <c r="A262" s="3">
        <v>44141</v>
      </c>
      <c r="B262" s="2">
        <v>0</v>
      </c>
      <c r="M262" s="3">
        <v>44141</v>
      </c>
      <c r="N262" s="2">
        <v>0</v>
      </c>
    </row>
  </sheetData>
  <pageMargins left="0.7" right="0.7" top="0.75" bottom="0.75" header="0.3" footer="0.3"/>
  <customProperties>
    <customPr name="OrphanNamesChecke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013C9-F636-40A0-B0F2-33C2B807FC56}">
  <dimension ref="A1:L211"/>
  <sheetViews>
    <sheetView zoomScale="87" zoomScaleNormal="87" workbookViewId="0">
      <selection activeCell="B6" sqref="B6"/>
    </sheetView>
  </sheetViews>
  <sheetFormatPr defaultColWidth="11.42578125" defaultRowHeight="12"/>
  <cols>
    <col min="1" max="1" width="35.85546875" style="6" customWidth="1"/>
    <col min="2" max="2" width="25.85546875" style="6" customWidth="1"/>
    <col min="3" max="3" width="25.85546875" style="5" customWidth="1"/>
    <col min="4" max="4" width="26.7109375" style="5" customWidth="1"/>
    <col min="5" max="5" width="25.85546875" style="5" customWidth="1"/>
    <col min="6" max="6" width="21.85546875" style="5" customWidth="1"/>
    <col min="7" max="7" width="24.140625" style="5" customWidth="1"/>
    <col min="8" max="8" width="26.42578125" style="5" customWidth="1"/>
    <col min="9" max="9" width="22.85546875" style="5" customWidth="1"/>
    <col min="10" max="16384" width="11.42578125" style="5"/>
  </cols>
  <sheetData>
    <row r="1" spans="1:12" ht="15.75">
      <c r="A1" s="51" t="s">
        <v>50</v>
      </c>
      <c r="B1" s="51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ht="15.75">
      <c r="A2" s="49" t="s">
        <v>49</v>
      </c>
      <c r="B2" s="48">
        <v>44377</v>
      </c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>
      <c r="A3" s="6" t="s">
        <v>48</v>
      </c>
      <c r="E3" s="46">
        <v>4.2099999999999999E-2</v>
      </c>
      <c r="F3" s="35" t="s">
        <v>47</v>
      </c>
    </row>
    <row r="4" spans="1:12">
      <c r="A4" s="6" t="s">
        <v>46</v>
      </c>
      <c r="E4" s="45" t="s">
        <v>45</v>
      </c>
      <c r="F4" s="42"/>
      <c r="G4" s="42"/>
    </row>
    <row r="5" spans="1:12">
      <c r="A5" s="6" t="s">
        <v>44</v>
      </c>
      <c r="E5" s="44">
        <f>'[1]Relative Equity Volatility'!D7</f>
        <v>1.504564300834484</v>
      </c>
      <c r="F5" s="43" t="s">
        <v>43</v>
      </c>
      <c r="G5" s="42"/>
    </row>
    <row r="7" spans="1:12" s="34" customFormat="1" ht="31.5">
      <c r="A7" s="41" t="s">
        <v>32</v>
      </c>
      <c r="B7" s="40" t="s">
        <v>42</v>
      </c>
      <c r="C7" s="39" t="s">
        <v>41</v>
      </c>
      <c r="D7" s="37" t="s">
        <v>40</v>
      </c>
      <c r="E7" s="37" t="s">
        <v>39</v>
      </c>
      <c r="F7" s="37" t="s">
        <v>38</v>
      </c>
      <c r="G7" s="38" t="s">
        <v>37</v>
      </c>
      <c r="H7" s="37" t="s">
        <v>36</v>
      </c>
      <c r="I7" s="36" t="s">
        <v>35</v>
      </c>
      <c r="J7" s="35" t="s">
        <v>34</v>
      </c>
    </row>
    <row r="8" spans="1:12" ht="15.75" hidden="1">
      <c r="A8" s="30" t="str">
        <f>'[1]Sovereign Ratings (Moody''s,S&amp;P)'!A2</f>
        <v>Abu Dhabi</v>
      </c>
      <c r="B8" s="29" t="str">
        <f>VLOOKUP(A8,'[1]Regional lookup table'!$A$2:$B$162,2,FALSE)</f>
        <v>Middle East</v>
      </c>
      <c r="C8" s="28" t="str">
        <f>VLOOKUP(A8,'[1]Sovereign Ratings (Moody''s,S&amp;P)'!$A$2:$D$158,4,FALSE)</f>
        <v>Aa2</v>
      </c>
      <c r="D8" s="27">
        <f>VLOOKUP(C8,$J$9:$K$31,2,FALSE)/10000</f>
        <v>4.8535510480564323E-3</v>
      </c>
      <c r="E8" s="27">
        <f>$E$3+F8</f>
        <v>4.9402479639183504E-2</v>
      </c>
      <c r="F8" s="26">
        <f>IF($E$4="Yes",D8*$E$5,D8)</f>
        <v>7.3024796391835027E-3</v>
      </c>
      <c r="G8" s="25">
        <f>VLOOKUP(A8,'[1]10-year CDS Spreads'!$A$2:$D$158,4,FALSE)</f>
        <v>5.0999999999999995E-3</v>
      </c>
      <c r="H8" s="26">
        <f>IF(I8="NA","NA",$E$3+I8)</f>
        <v>4.9773277934255865E-2</v>
      </c>
      <c r="I8" s="31">
        <f>IF(G8="NA","NA",G8*$E$5)</f>
        <v>7.673277934255868E-3</v>
      </c>
      <c r="J8" s="9" t="s">
        <v>27</v>
      </c>
      <c r="K8" s="9" t="s">
        <v>26</v>
      </c>
    </row>
    <row r="9" spans="1:12" ht="15.75" hidden="1">
      <c r="A9" s="30" t="str">
        <f>'[1]Sovereign Ratings (Moody''s,S&amp;P)'!A3</f>
        <v>Albania</v>
      </c>
      <c r="B9" s="29" t="str">
        <f>VLOOKUP(A9,'[1]Regional lookup table'!$A$2:$B$162,2,FALSE)</f>
        <v>Eastern Europe &amp; Russia</v>
      </c>
      <c r="C9" s="28" t="str">
        <f>VLOOKUP(A9,'[1]Sovereign Ratings (Moody''s,S&amp;P)'!$A$2:$D$158,4,FALSE)</f>
        <v>Ba3</v>
      </c>
      <c r="D9" s="27">
        <f>VLOOKUP(C9,$J$9:$K$31,2,FALSE)/10000</f>
        <v>3.5361586207268286E-2</v>
      </c>
      <c r="E9" s="27">
        <f>$E$3+F9</f>
        <v>9.5303780228336937E-2</v>
      </c>
      <c r="F9" s="26">
        <f>IF($E$4="Yes",D9*$E$5,D9)</f>
        <v>5.3203780228336939E-2</v>
      </c>
      <c r="G9" s="25" t="str">
        <f>VLOOKUP(A9,'[1]10-year CDS Spreads'!$A$2:$D$158,4,FALSE)</f>
        <v>NA</v>
      </c>
      <c r="H9" s="26" t="str">
        <f>IF(I9="NA","NA",$E$3+I9)</f>
        <v>NA</v>
      </c>
      <c r="I9" s="31" t="str">
        <f>IF(G9="NA","NA",G9*$E$5)</f>
        <v>NA</v>
      </c>
      <c r="J9" s="7" t="s">
        <v>25</v>
      </c>
      <c r="K9" s="33">
        <f>C190</f>
        <v>69.336443543663336</v>
      </c>
    </row>
    <row r="10" spans="1:12" ht="15.75" hidden="1">
      <c r="A10" s="30" t="str">
        <f>'[1]Sovereign Ratings (Moody''s,S&amp;P)'!A4</f>
        <v>Andorra (Principality of)</v>
      </c>
      <c r="B10" s="29" t="str">
        <f>VLOOKUP(A10,'[1]Regional lookup table'!$A$2:$B$162,2,FALSE)</f>
        <v>Western Europe</v>
      </c>
      <c r="C10" s="28" t="str">
        <f>VLOOKUP(A10,'[1]Sovereign Ratings (Moody''s,S&amp;P)'!$A$2:$D$158,4,FALSE)</f>
        <v>Baa1</v>
      </c>
      <c r="D10" s="27">
        <f>VLOOKUP(C10,$J$9:$K$31,2,FALSE)/10000</f>
        <v>1.5716260536563685E-2</v>
      </c>
      <c r="E10" s="27">
        <f>$E$3+F10</f>
        <v>6.5746124545927528E-2</v>
      </c>
      <c r="F10" s="26">
        <f>IF($E$4="Yes",D10*$E$5,D10)</f>
        <v>2.3646124545927533E-2</v>
      </c>
      <c r="G10" s="25" t="str">
        <f>VLOOKUP(A10,'[1]10-year CDS Spreads'!$A$2:$D$158,4,FALSE)</f>
        <v>NA</v>
      </c>
      <c r="H10" s="26" t="str">
        <f>IF(I10="NA","NA",$E$3+I10)</f>
        <v>NA</v>
      </c>
      <c r="I10" s="31" t="str">
        <f>IF(G10="NA","NA",G10*$E$5)</f>
        <v>NA</v>
      </c>
      <c r="J10" s="7" t="s">
        <v>24</v>
      </c>
      <c r="K10" s="33">
        <f>C191</f>
        <v>83.20373225239598</v>
      </c>
    </row>
    <row r="11" spans="1:12" ht="15.75" hidden="1">
      <c r="A11" s="30" t="str">
        <f>'[1]Sovereign Ratings (Moody''s,S&amp;P)'!A5</f>
        <v>Angola</v>
      </c>
      <c r="B11" s="29" t="str">
        <f>VLOOKUP(A11,'[1]Regional lookup table'!$A$2:$B$162,2,FALSE)</f>
        <v>Africa</v>
      </c>
      <c r="C11" s="28" t="str">
        <f>VLOOKUP(A11,'[1]Sovereign Ratings (Moody''s,S&amp;P)'!$A$2:$D$158,4,FALSE)</f>
        <v>B3</v>
      </c>
      <c r="D11" s="27">
        <f>VLOOKUP(C11,$J$9:$K$31,2,FALSE)/10000</f>
        <v>6.3905088799409676E-2</v>
      </c>
      <c r="E11" s="27">
        <f>$E$3+F11</f>
        <v>0.13824931524924944</v>
      </c>
      <c r="F11" s="26">
        <f>IF($E$4="Yes",D11*$E$5,D11)</f>
        <v>9.614931524924944E-2</v>
      </c>
      <c r="G11" s="25">
        <f>VLOOKUP(A11,'[1]10-year CDS Spreads'!$A$2:$D$158,4,FALSE)</f>
        <v>6.9900000000000004E-2</v>
      </c>
      <c r="H11" s="26">
        <f>IF(I11="NA","NA",$E$3+I11)</f>
        <v>0.14726904462833043</v>
      </c>
      <c r="I11" s="31">
        <f>IF(G11="NA","NA",G11*$E$5)</f>
        <v>0.10516904462833043</v>
      </c>
      <c r="J11" s="7" t="s">
        <v>23</v>
      </c>
      <c r="K11" s="33">
        <f>C192</f>
        <v>117.87195402422765</v>
      </c>
    </row>
    <row r="12" spans="1:12" ht="15.75" hidden="1">
      <c r="A12" s="30" t="str">
        <f>'[1]Sovereign Ratings (Moody''s,S&amp;P)'!A6</f>
        <v>Argentina</v>
      </c>
      <c r="B12" s="29" t="str">
        <f>VLOOKUP(A12,'[1]Regional lookup table'!$A$2:$B$162,2,FALSE)</f>
        <v>Central and South America</v>
      </c>
      <c r="C12" s="28" t="str">
        <f>VLOOKUP(A12,'[1]Sovereign Ratings (Moody''s,S&amp;P)'!$A$2:$D$158,4,FALSE)</f>
        <v>Caa3</v>
      </c>
      <c r="D12" s="27">
        <f>VLOOKUP(C12,$J$9:$K$31,2,FALSE)/10000</f>
        <v>9.8342189092762475E-2</v>
      </c>
      <c r="E12" s="27">
        <f>$E$3+F12</f>
        <v>0.1900621469748848</v>
      </c>
      <c r="F12" s="26">
        <f>IF($E$4="Yes",D12*$E$5,D12)</f>
        <v>0.1479621469748848</v>
      </c>
      <c r="G12" s="25" t="str">
        <f>VLOOKUP(A12,'[1]10-year CDS Spreads'!$A$2:$D$158,4,FALSE)</f>
        <v>NA</v>
      </c>
      <c r="H12" s="26" t="str">
        <f>IF(I12="NA","NA",$E$3+I12)</f>
        <v>NA</v>
      </c>
      <c r="I12" s="31" t="str">
        <f>IF(G12="NA","NA",G12*$E$5)</f>
        <v>NA</v>
      </c>
      <c r="J12" s="7" t="s">
        <v>22</v>
      </c>
      <c r="K12" s="33">
        <f>C193</f>
        <v>27</v>
      </c>
    </row>
    <row r="13" spans="1:12" ht="15.75" hidden="1">
      <c r="A13" s="30" t="str">
        <f>'[1]Sovereign Ratings (Moody''s,S&amp;P)'!A7</f>
        <v>Armenia</v>
      </c>
      <c r="B13" s="29" t="str">
        <f>VLOOKUP(A13,'[1]Regional lookup table'!$A$2:$B$162,2,FALSE)</f>
        <v>Eastern Europe &amp; Russia</v>
      </c>
      <c r="C13" s="28" t="str">
        <f>VLOOKUP(A13,'[1]Sovereign Ratings (Moody''s,S&amp;P)'!$A$2:$D$158,4,FALSE)</f>
        <v>Ba3</v>
      </c>
      <c r="D13" s="27">
        <f>VLOOKUP(C13,$J$9:$K$31,2,FALSE)/10000</f>
        <v>3.5361586207268286E-2</v>
      </c>
      <c r="E13" s="27">
        <f>$E$3+F13</f>
        <v>9.5303780228336937E-2</v>
      </c>
      <c r="F13" s="26">
        <f>IF($E$4="Yes",D13*$E$5,D13)</f>
        <v>5.3203780228336939E-2</v>
      </c>
      <c r="G13" s="25" t="str">
        <f>VLOOKUP(A13,'[1]10-year CDS Spreads'!$A$2:$D$158,4,FALSE)</f>
        <v>NA</v>
      </c>
      <c r="H13" s="26" t="str">
        <f>IF(I13="NA","NA",$E$3+I13)</f>
        <v>NA</v>
      </c>
      <c r="I13" s="31" t="str">
        <f>IF(G13="NA","NA",G13*$E$5)</f>
        <v>NA</v>
      </c>
      <c r="J13" s="7" t="s">
        <v>21</v>
      </c>
      <c r="K13" s="33">
        <f>C194</f>
        <v>48.535510480564319</v>
      </c>
    </row>
    <row r="14" spans="1:12" ht="15.75" hidden="1">
      <c r="A14" s="30" t="str">
        <f>'[1]Sovereign Ratings (Moody''s,S&amp;P)'!A8</f>
        <v>Aruba</v>
      </c>
      <c r="B14" s="29" t="str">
        <f>VLOOKUP(A14,'[1]Regional lookup table'!$A$2:$B$162,2,FALSE)</f>
        <v>Caribbean</v>
      </c>
      <c r="C14" s="28" t="str">
        <f>VLOOKUP(A14,'[1]Sovereign Ratings (Moody''s,S&amp;P)'!$A$2:$D$158,4,FALSE)</f>
        <v>Baa3</v>
      </c>
      <c r="D14" s="27">
        <f>VLOOKUP(C14,$J$9:$K$31,2,FALSE)/10000</f>
        <v>2.160985823777507E-2</v>
      </c>
      <c r="E14" s="27">
        <f>$E$3+F14</f>
        <v>7.4613421250650361E-2</v>
      </c>
      <c r="F14" s="26">
        <f>IF($E$4="Yes",D14*$E$5,D14)</f>
        <v>3.2513421250650362E-2</v>
      </c>
      <c r="G14" s="25" t="str">
        <f>VLOOKUP(A14,'[1]10-year CDS Spreads'!$A$2:$D$158,4,FALSE)</f>
        <v>NA</v>
      </c>
      <c r="H14" s="26" t="str">
        <f>IF(I14="NA","NA",$E$3+I14)</f>
        <v>NA</v>
      </c>
      <c r="I14" s="31" t="str">
        <f>IF(G14="NA","NA",G14*$E$5)</f>
        <v>NA</v>
      </c>
      <c r="J14" s="7" t="s">
        <v>20</v>
      </c>
      <c r="K14" s="33">
        <f>C195</f>
        <v>58.935977012113824</v>
      </c>
    </row>
    <row r="15" spans="1:12" ht="15.75" hidden="1">
      <c r="A15" s="30" t="str">
        <f>'[1]Sovereign Ratings (Moody''s,S&amp;P)'!A9</f>
        <v>Australia</v>
      </c>
      <c r="B15" s="29" t="str">
        <f>VLOOKUP(A15,'[1]Regional lookup table'!$A$2:$B$162,2,FALSE)</f>
        <v>Australia &amp; New Zealand</v>
      </c>
      <c r="C15" s="28" t="str">
        <f>VLOOKUP(A15,'[1]Sovereign Ratings (Moody''s,S&amp;P)'!$A$2:$D$158,4,FALSE)</f>
        <v>Aaa</v>
      </c>
      <c r="D15" s="27">
        <f>VLOOKUP(C15,$J$9:$K$31,2,FALSE)/10000</f>
        <v>0</v>
      </c>
      <c r="E15" s="27">
        <f>$E$3+F15</f>
        <v>4.2099999999999999E-2</v>
      </c>
      <c r="F15" s="26">
        <f>IF($E$4="Yes",D15*$E$5,D15)</f>
        <v>0</v>
      </c>
      <c r="G15" s="25">
        <f>VLOOKUP(A15,'[1]10-year CDS Spreads'!$A$2:$D$158,4,FALSE)</f>
        <v>1.0000000000000005E-4</v>
      </c>
      <c r="H15" s="26">
        <f>IF(I15="NA","NA",$E$3+I15)</f>
        <v>4.2250456430083447E-2</v>
      </c>
      <c r="I15" s="31">
        <f>IF(G15="NA","NA",G15*$E$5)</f>
        <v>1.5045643008344847E-4</v>
      </c>
      <c r="J15" s="7" t="s">
        <v>19</v>
      </c>
      <c r="K15" s="33">
        <f>C196</f>
        <v>0</v>
      </c>
    </row>
    <row r="16" spans="1:12" ht="15.75" hidden="1">
      <c r="A16" s="30" t="str">
        <f>'[1]Sovereign Ratings (Moody''s,S&amp;P)'!A10</f>
        <v>Austria</v>
      </c>
      <c r="B16" s="29" t="str">
        <f>VLOOKUP(A16,'[1]Regional lookup table'!$A$2:$B$162,2,FALSE)</f>
        <v>Western Europe</v>
      </c>
      <c r="C16" s="28" t="str">
        <f>VLOOKUP(A16,'[1]Sovereign Ratings (Moody''s,S&amp;P)'!$A$2:$D$158,4,FALSE)</f>
        <v>Aa1</v>
      </c>
      <c r="D16" s="27">
        <f>VLOOKUP(C16,$J$9:$K$31,2,FALSE)/10000</f>
        <v>2.7000000000000001E-3</v>
      </c>
      <c r="E16" s="27">
        <f>$E$3+F16</f>
        <v>4.6162323612253107E-2</v>
      </c>
      <c r="F16" s="26">
        <f>IF($E$4="Yes",D16*$E$5,D16)</f>
        <v>4.0623236122531072E-3</v>
      </c>
      <c r="G16" s="25">
        <f>VLOOKUP(A16,'[1]10-year CDS Spreads'!$A$2:$D$158,4,FALSE)</f>
        <v>1.5000000000000002E-3</v>
      </c>
      <c r="H16" s="26">
        <f>IF(I16="NA","NA",$E$3+I16)</f>
        <v>4.4356846451251722E-2</v>
      </c>
      <c r="I16" s="31">
        <f>IF(G16="NA","NA",G16*$E$5)</f>
        <v>2.2568464512517264E-3</v>
      </c>
      <c r="J16" s="7" t="s">
        <v>18</v>
      </c>
      <c r="K16" s="33">
        <f>C197</f>
        <v>442.59763128705077</v>
      </c>
    </row>
    <row r="17" spans="1:11" ht="15.75" hidden="1">
      <c r="A17" s="30" t="str">
        <f>'[1]Sovereign Ratings (Moody''s,S&amp;P)'!A11</f>
        <v>Azerbaijan</v>
      </c>
      <c r="B17" s="29" t="str">
        <f>VLOOKUP(A17,'[1]Regional lookup table'!$A$2:$B$162,2,FALSE)</f>
        <v>Eastern Europe &amp; Russia</v>
      </c>
      <c r="C17" s="28" t="str">
        <f>VLOOKUP(A17,'[1]Sovereign Ratings (Moody''s,S&amp;P)'!$A$2:$D$158,4,FALSE)</f>
        <v>Baa3</v>
      </c>
      <c r="D17" s="27">
        <f>VLOOKUP(C17,$J$9:$K$31,2,FALSE)/10000</f>
        <v>2.160985823777507E-2</v>
      </c>
      <c r="E17" s="27">
        <f>$E$3+F17</f>
        <v>7.4613421250650361E-2</v>
      </c>
      <c r="F17" s="26">
        <f>IF($E$4="Yes",D17*$E$5,D17)</f>
        <v>3.2513421250650362E-2</v>
      </c>
      <c r="G17" s="25" t="str">
        <f>VLOOKUP(A17,'[1]10-year CDS Spreads'!$A$2:$D$158,4,FALSE)</f>
        <v>NA</v>
      </c>
      <c r="H17" s="26" t="str">
        <f>IF(I17="NA","NA",$E$3+I17)</f>
        <v>NA</v>
      </c>
      <c r="I17" s="31" t="str">
        <f>IF(G17="NA","NA",G17*$E$5)</f>
        <v>NA</v>
      </c>
      <c r="J17" s="7" t="s">
        <v>17</v>
      </c>
      <c r="K17" s="33">
        <f>C198</f>
        <v>540.82425964057381</v>
      </c>
    </row>
    <row r="18" spans="1:11" ht="15.75" hidden="1">
      <c r="A18" s="30" t="str">
        <f>'[1]Sovereign Ratings (Moody''s,S&amp;P)'!A12</f>
        <v>Bahamas</v>
      </c>
      <c r="B18" s="29" t="str">
        <f>VLOOKUP(A18,'[1]Regional lookup table'!$A$2:$B$162,2,FALSE)</f>
        <v>Caribbean</v>
      </c>
      <c r="C18" s="28" t="str">
        <f>VLOOKUP(A18,'[1]Sovereign Ratings (Moody''s,S&amp;P)'!$A$2:$D$158,4,FALSE)</f>
        <v>B1</v>
      </c>
      <c r="D18" s="27">
        <f>VLOOKUP(C18,$J$9:$K$31,2,FALSE)/10000</f>
        <v>4.4259763128705075E-2</v>
      </c>
      <c r="E18" s="27">
        <f>$E$3+F18</f>
        <v>0.10869165956684003</v>
      </c>
      <c r="F18" s="26">
        <f>IF($E$4="Yes",D18*$E$5,D18)</f>
        <v>6.6591659566840031E-2</v>
      </c>
      <c r="G18" s="25" t="str">
        <f>VLOOKUP(A18,'[1]10-year CDS Spreads'!$A$2:$D$158,4,FALSE)</f>
        <v>NA</v>
      </c>
      <c r="H18" s="26" t="str">
        <f>IF(I18="NA","NA",$E$3+I18)</f>
        <v>NA</v>
      </c>
      <c r="I18" s="31" t="str">
        <f>IF(G18="NA","NA",G18*$E$5)</f>
        <v>NA</v>
      </c>
      <c r="J18" s="7" t="s">
        <v>16</v>
      </c>
      <c r="K18" s="33">
        <f>C199</f>
        <v>639.0508879940968</v>
      </c>
    </row>
    <row r="19" spans="1:11" ht="15.75" hidden="1">
      <c r="A19" s="30" t="str">
        <f>'[1]Sovereign Ratings (Moody''s,S&amp;P)'!A13</f>
        <v>Bahrain</v>
      </c>
      <c r="B19" s="29" t="str">
        <f>VLOOKUP(A19,'[1]Regional lookup table'!$A$2:$B$162,2,FALSE)</f>
        <v>Middle East</v>
      </c>
      <c r="C19" s="28" t="str">
        <f>VLOOKUP(A19,'[1]Sovereign Ratings (Moody''s,S&amp;P)'!$A$2:$D$158,4,FALSE)</f>
        <v>B2</v>
      </c>
      <c r="D19" s="27">
        <f>VLOOKUP(C19,$J$9:$K$31,2,FALSE)/10000</f>
        <v>5.4082425964057379E-2</v>
      </c>
      <c r="E19" s="27">
        <f>$E$3+F19</f>
        <v>0.12347048740804473</v>
      </c>
      <c r="F19" s="26">
        <f>IF($E$4="Yes",D19*$E$5,D19)</f>
        <v>8.1370487408044728E-2</v>
      </c>
      <c r="G19" s="25">
        <f>VLOOKUP(A19,'[1]10-year CDS Spreads'!$A$2:$D$158,4,FALSE)</f>
        <v>2.6200000000000001E-2</v>
      </c>
      <c r="H19" s="26">
        <f>IF(I19="NA","NA",$E$3+I19)</f>
        <v>8.1519584681863488E-2</v>
      </c>
      <c r="I19" s="31">
        <f>IF(G19="NA","NA",G19*$E$5)</f>
        <v>3.9419584681863483E-2</v>
      </c>
      <c r="J19" s="7" t="s">
        <v>15</v>
      </c>
      <c r="K19" s="33">
        <f>C200</f>
        <v>246.14437458000481</v>
      </c>
    </row>
    <row r="20" spans="1:11" ht="15.75" hidden="1">
      <c r="A20" s="30" t="str">
        <f>'[1]Sovereign Ratings (Moody''s,S&amp;P)'!A14</f>
        <v>Bangladesh</v>
      </c>
      <c r="B20" s="29" t="str">
        <f>VLOOKUP(A20,'[1]Regional lookup table'!$A$2:$B$162,2,FALSE)</f>
        <v>Asia</v>
      </c>
      <c r="C20" s="28" t="str">
        <f>VLOOKUP(A20,'[1]Sovereign Ratings (Moody''s,S&amp;P)'!$A$2:$D$158,4,FALSE)</f>
        <v>B2</v>
      </c>
      <c r="D20" s="27">
        <f>VLOOKUP(C20,$J$9:$K$31,2,FALSE)/10000</f>
        <v>5.4082425964057379E-2</v>
      </c>
      <c r="E20" s="27">
        <f>$E$3+F20</f>
        <v>0.12347048740804473</v>
      </c>
      <c r="F20" s="26">
        <f>IF($E$4="Yes",D20*$E$5,D20)</f>
        <v>8.1370487408044728E-2</v>
      </c>
      <c r="G20" s="25" t="str">
        <f>VLOOKUP(A20,'[1]10-year CDS Spreads'!$A$2:$D$158,4,FALSE)</f>
        <v>NA</v>
      </c>
      <c r="H20" s="26" t="str">
        <f>IF(I20="NA","NA",$E$3+I20)</f>
        <v>NA</v>
      </c>
      <c r="I20" s="31" t="str">
        <f>IF(G20="NA","NA",G20*$E$5)</f>
        <v>NA</v>
      </c>
      <c r="J20" s="7" t="s">
        <v>14</v>
      </c>
      <c r="K20" s="33">
        <f>C201</f>
        <v>295.83549245296348</v>
      </c>
    </row>
    <row r="21" spans="1:11" ht="15.75" hidden="1">
      <c r="A21" s="30" t="str">
        <f>'[1]Sovereign Ratings (Moody''s,S&amp;P)'!A15</f>
        <v>Barbados</v>
      </c>
      <c r="B21" s="29" t="str">
        <f>VLOOKUP(A21,'[1]Regional lookup table'!$A$2:$B$162,2,FALSE)</f>
        <v>Caribbean</v>
      </c>
      <c r="C21" s="28" t="str">
        <f>VLOOKUP(A21,'[1]Sovereign Ratings (Moody''s,S&amp;P)'!$A$2:$D$158,4,FALSE)</f>
        <v>B2</v>
      </c>
      <c r="D21" s="27">
        <f>VLOOKUP(C21,$J$9:$K$31,2,FALSE)/10000</f>
        <v>5.4082425964057379E-2</v>
      </c>
      <c r="E21" s="27">
        <f>$E$3+F21</f>
        <v>0.12347048740804473</v>
      </c>
      <c r="F21" s="26">
        <f>IF($E$4="Yes",D21*$E$5,D21)</f>
        <v>8.1370487408044728E-2</v>
      </c>
      <c r="G21" s="25" t="str">
        <f>VLOOKUP(A21,'[1]10-year CDS Spreads'!$A$2:$D$158,4,FALSE)</f>
        <v>NA</v>
      </c>
      <c r="H21" s="26" t="str">
        <f>IF(I21="NA","NA",$E$3+I21)</f>
        <v>NA</v>
      </c>
      <c r="I21" s="31" t="str">
        <f>IF(G21="NA","NA",G21*$E$5)</f>
        <v>NA</v>
      </c>
      <c r="J21" s="7" t="s">
        <v>13</v>
      </c>
      <c r="K21" s="33">
        <f>C202</f>
        <v>353.61586207268289</v>
      </c>
    </row>
    <row r="22" spans="1:11" ht="15.75" hidden="1">
      <c r="A22" s="30" t="str">
        <f>'[1]Sovereign Ratings (Moody''s,S&amp;P)'!A16</f>
        <v>Belarus</v>
      </c>
      <c r="B22" s="29" t="str">
        <f>VLOOKUP(A22,'[1]Regional lookup table'!$A$2:$B$162,2,FALSE)</f>
        <v>Eastern Europe &amp; Russia</v>
      </c>
      <c r="C22" s="28" t="str">
        <f>VLOOKUP(A22,'[1]Sovereign Ratings (Moody''s,S&amp;P)'!$A$2:$D$158,4,FALSE)</f>
        <v>C</v>
      </c>
      <c r="D22" s="27">
        <f>VLOOKUP(C22,$J$9:$K$31,2,FALSE)/10000</f>
        <v>0.17499999999999999</v>
      </c>
      <c r="E22" s="27">
        <f>$E$3+F22</f>
        <v>0.30539875264603467</v>
      </c>
      <c r="F22" s="26">
        <f>IF($E$4="Yes",D22*$E$5,D22)</f>
        <v>0.26329875264603469</v>
      </c>
      <c r="G22" s="25" t="str">
        <f>VLOOKUP(A22,'[1]10-year CDS Spreads'!$A$2:$D$158,4,FALSE)</f>
        <v>NA</v>
      </c>
      <c r="H22" s="26" t="str">
        <f>IF(I22="NA","NA",$E$3+I22)</f>
        <v>NA</v>
      </c>
      <c r="I22" s="31" t="str">
        <f>IF(G22="NA","NA",G22*$E$5)</f>
        <v>NA</v>
      </c>
      <c r="J22" s="7" t="s">
        <v>12</v>
      </c>
      <c r="K22" s="33">
        <f>C203</f>
        <v>157.16260536563684</v>
      </c>
    </row>
    <row r="23" spans="1:11" ht="15.75" hidden="1">
      <c r="A23" s="30" t="str">
        <f>'[1]Sovereign Ratings (Moody''s,S&amp;P)'!A17</f>
        <v>Belgium</v>
      </c>
      <c r="B23" s="29" t="str">
        <f>VLOOKUP(A23,'[1]Regional lookup table'!$A$2:$B$162,2,FALSE)</f>
        <v>Western Europe</v>
      </c>
      <c r="C23" s="28" t="str">
        <f>VLOOKUP(A23,'[1]Sovereign Ratings (Moody''s,S&amp;P)'!$A$2:$D$158,4,FALSE)</f>
        <v>Aa3</v>
      </c>
      <c r="D23" s="27">
        <f>VLOOKUP(C23,$J$9:$K$31,2,FALSE)/10000</f>
        <v>5.8935977012113828E-3</v>
      </c>
      <c r="E23" s="27">
        <f>$E$3+F23</f>
        <v>5.0967296704722824E-2</v>
      </c>
      <c r="F23" s="26">
        <f>IF($E$4="Yes",D23*$E$5,D23)</f>
        <v>8.8672967047228254E-3</v>
      </c>
      <c r="G23" s="25">
        <f>VLOOKUP(A23,'[1]10-year CDS Spreads'!$A$2:$D$158,4,FALSE)</f>
        <v>3.3E-3</v>
      </c>
      <c r="H23" s="26">
        <f>IF(I23="NA","NA",$E$3+I23)</f>
        <v>4.7065062192753797E-2</v>
      </c>
      <c r="I23" s="31">
        <f>IF(G23="NA","NA",G23*$E$5)</f>
        <v>4.9650621927537974E-3</v>
      </c>
      <c r="J23" s="7" t="s">
        <v>11</v>
      </c>
      <c r="K23" s="33">
        <f>C204</f>
        <v>187.20839756789098</v>
      </c>
    </row>
    <row r="24" spans="1:11" ht="15.75" hidden="1">
      <c r="A24" s="30" t="str">
        <f>'[1]Sovereign Ratings (Moody''s,S&amp;P)'!A18</f>
        <v>Belize</v>
      </c>
      <c r="B24" s="29" t="str">
        <f>VLOOKUP(A24,'[1]Regional lookup table'!$A$2:$B$162,2,FALSE)</f>
        <v>Central and South America</v>
      </c>
      <c r="C24" s="28" t="str">
        <f>VLOOKUP(A24,'[1]Sovereign Ratings (Moody''s,S&amp;P)'!$A$2:$D$158,4,FALSE)</f>
        <v>Caa1</v>
      </c>
      <c r="D24" s="27">
        <f>VLOOKUP(C24,$J$9:$K$31,2,FALSE)/10000</f>
        <v>7.3727751634761987E-2</v>
      </c>
      <c r="E24" s="27">
        <f>$E$3+F24</f>
        <v>0.15302814309045415</v>
      </c>
      <c r="F24" s="26">
        <f>IF($E$4="Yes",D24*$E$5,D24)</f>
        <v>0.11092814309045415</v>
      </c>
      <c r="G24" s="25" t="str">
        <f>VLOOKUP(A24,'[1]10-year CDS Spreads'!$A$2:$D$158,4,FALSE)</f>
        <v>NA</v>
      </c>
      <c r="H24" s="26" t="str">
        <f>IF(I24="NA","NA",$E$3+I24)</f>
        <v>NA</v>
      </c>
      <c r="I24" s="31" t="str">
        <f>IF(G24="NA","NA",G24*$E$5)</f>
        <v>NA</v>
      </c>
      <c r="J24" s="7" t="s">
        <v>10</v>
      </c>
      <c r="K24" s="33">
        <f>C205</f>
        <v>216.09858237775069</v>
      </c>
    </row>
    <row r="25" spans="1:11" ht="15.75" hidden="1">
      <c r="A25" s="30" t="str">
        <f>'[1]Sovereign Ratings (Moody''s,S&amp;P)'!A19</f>
        <v>Benin</v>
      </c>
      <c r="B25" s="29" t="str">
        <f>VLOOKUP(A25,'[1]Regional lookup table'!$A$2:$B$162,2,FALSE)</f>
        <v>Africa</v>
      </c>
      <c r="C25" s="28" t="str">
        <f>VLOOKUP(A25,'[1]Sovereign Ratings (Moody''s,S&amp;P)'!$A$2:$D$158,4,FALSE)</f>
        <v>B1</v>
      </c>
      <c r="D25" s="27">
        <f>VLOOKUP(C25,$J$9:$K$31,2,FALSE)/10000</f>
        <v>4.4259763128705075E-2</v>
      </c>
      <c r="E25" s="27">
        <f>$E$3+F25</f>
        <v>0.10869165956684003</v>
      </c>
      <c r="F25" s="26">
        <f>IF($E$4="Yes",D25*$E$5,D25)</f>
        <v>6.6591659566840031E-2</v>
      </c>
      <c r="G25" s="25" t="str">
        <f>VLOOKUP(A25,'[1]10-year CDS Spreads'!$A$2:$D$158,4,FALSE)</f>
        <v>NA</v>
      </c>
      <c r="H25" s="26" t="str">
        <f>IF(I25="NA","NA",$E$3+I25)</f>
        <v>NA</v>
      </c>
      <c r="I25" s="31" t="str">
        <f>IF(G25="NA","NA",G25*$E$5)</f>
        <v>NA</v>
      </c>
      <c r="J25" s="7" t="s">
        <v>9</v>
      </c>
      <c r="K25" s="33">
        <f>C206</f>
        <v>1750</v>
      </c>
    </row>
    <row r="26" spans="1:11" ht="15.75" hidden="1">
      <c r="A26" s="30" t="str">
        <f>'[1]Sovereign Ratings (Moody''s,S&amp;P)'!A20</f>
        <v>Bermuda</v>
      </c>
      <c r="B26" s="29" t="str">
        <f>VLOOKUP(A26,'[1]Regional lookup table'!$A$2:$B$162,2,FALSE)</f>
        <v>Caribbean</v>
      </c>
      <c r="C26" s="28" t="str">
        <f>VLOOKUP(A26,'[1]Sovereign Ratings (Moody''s,S&amp;P)'!$A$2:$D$158,4,FALSE)</f>
        <v>A2</v>
      </c>
      <c r="D26" s="27">
        <f>VLOOKUP(C26,$J$9:$K$31,2,FALSE)/10000</f>
        <v>8.3203732252395985E-3</v>
      </c>
      <c r="E26" s="27">
        <f>$E$3+F26</f>
        <v>5.4618536524314573E-2</v>
      </c>
      <c r="F26" s="26">
        <f>IF($E$4="Yes",D26*$E$5,D26)</f>
        <v>1.2518536524314576E-2</v>
      </c>
      <c r="G26" s="25" t="str">
        <f>VLOOKUP(A26,'[1]10-year CDS Spreads'!$A$2:$D$158,4,FALSE)</f>
        <v>NA</v>
      </c>
      <c r="H26" s="26" t="str">
        <f>IF(I26="NA","NA",$E$3+I26)</f>
        <v>NA</v>
      </c>
      <c r="I26" s="31" t="str">
        <f>IF(G26="NA","NA",G26*$E$5)</f>
        <v>NA</v>
      </c>
      <c r="J26" s="7" t="s">
        <v>8</v>
      </c>
      <c r="K26" s="33">
        <f>C207</f>
        <v>1179.8751476346708</v>
      </c>
    </row>
    <row r="27" spans="1:11" ht="15.75" hidden="1">
      <c r="A27" s="30" t="str">
        <f>'[1]Sovereign Ratings (Moody''s,S&amp;P)'!A21</f>
        <v>Bolivia</v>
      </c>
      <c r="B27" s="29" t="str">
        <f>VLOOKUP(A27,'[1]Regional lookup table'!$A$2:$B$162,2,FALSE)</f>
        <v>Central and South America</v>
      </c>
      <c r="C27" s="28" t="str">
        <f>VLOOKUP(A27,'[1]Sovereign Ratings (Moody''s,S&amp;P)'!$A$2:$D$158,4,FALSE)</f>
        <v>Ca</v>
      </c>
      <c r="D27" s="27">
        <f>VLOOKUP(C27,$J$9:$K$31,2,FALSE)/10000</f>
        <v>0.11798751476346708</v>
      </c>
      <c r="E27" s="27">
        <f>$E$3+F27</f>
        <v>0.21961980265729422</v>
      </c>
      <c r="F27" s="26">
        <f>IF($E$4="Yes",D27*$E$5,D27)</f>
        <v>0.17751980265729422</v>
      </c>
      <c r="G27" s="25" t="str">
        <f>VLOOKUP(A27,'[1]10-year CDS Spreads'!$A$2:$D$158,4,FALSE)</f>
        <v>NA</v>
      </c>
      <c r="H27" s="26" t="str">
        <f>IF(I27="NA","NA",$E$3+I27)</f>
        <v>NA</v>
      </c>
      <c r="I27" s="31" t="str">
        <f>IF(G27="NA","NA",G27*$E$5)</f>
        <v>NA</v>
      </c>
      <c r="J27" s="7" t="str">
        <f>B208</f>
        <v>Caa1</v>
      </c>
      <c r="K27" s="33">
        <f>C208</f>
        <v>737.27751634761989</v>
      </c>
    </row>
    <row r="28" spans="1:11" ht="15.75" hidden="1">
      <c r="A28" s="30" t="str">
        <f>'[1]Sovereign Ratings (Moody''s,S&amp;P)'!A22</f>
        <v>Bosnia and Herzegovina</v>
      </c>
      <c r="B28" s="29" t="str">
        <f>VLOOKUP(A28,'[1]Regional lookup table'!$A$2:$B$162,2,FALSE)</f>
        <v>Eastern Europe &amp; Russia</v>
      </c>
      <c r="C28" s="28" t="str">
        <f>VLOOKUP(A28,'[1]Sovereign Ratings (Moody''s,S&amp;P)'!$A$2:$D$158,4,FALSE)</f>
        <v>B3</v>
      </c>
      <c r="D28" s="27">
        <f>VLOOKUP(C28,$J$9:$K$31,2,FALSE)/10000</f>
        <v>6.3905088799409676E-2</v>
      </c>
      <c r="E28" s="27">
        <f>$E$3+F28</f>
        <v>0.13824931524924944</v>
      </c>
      <c r="F28" s="26">
        <f>IF($E$4="Yes",D28*$E$5,D28)</f>
        <v>9.614931524924944E-2</v>
      </c>
      <c r="G28" s="25" t="str">
        <f>VLOOKUP(A28,'[1]10-year CDS Spreads'!$A$2:$D$158,4,FALSE)</f>
        <v>NA</v>
      </c>
      <c r="H28" s="26" t="str">
        <f>IF(I28="NA","NA",$E$3+I28)</f>
        <v>NA</v>
      </c>
      <c r="I28" s="31" t="str">
        <f>IF(G28="NA","NA",G28*$E$5)</f>
        <v>NA</v>
      </c>
      <c r="J28" s="7" t="str">
        <f>B209</f>
        <v>Caa2</v>
      </c>
      <c r="K28" s="33">
        <f>C209</f>
        <v>885.19526257410155</v>
      </c>
    </row>
    <row r="29" spans="1:11" ht="15.75" hidden="1">
      <c r="A29" s="30" t="str">
        <f>'[1]Sovereign Ratings (Moody''s,S&amp;P)'!A23</f>
        <v>Botswana</v>
      </c>
      <c r="B29" s="29" t="str">
        <f>VLOOKUP(A29,'[1]Regional lookup table'!$A$2:$B$162,2,FALSE)</f>
        <v>Africa</v>
      </c>
      <c r="C29" s="28" t="str">
        <f>VLOOKUP(A29,'[1]Sovereign Ratings (Moody''s,S&amp;P)'!$A$2:$D$158,4,FALSE)</f>
        <v>A3</v>
      </c>
      <c r="D29" s="27">
        <f>VLOOKUP(C29,$J$9:$K$31,2,FALSE)/10000</f>
        <v>1.1787195402422766E-2</v>
      </c>
      <c r="E29" s="27">
        <f>$E$3+F29</f>
        <v>5.9834593409445649E-2</v>
      </c>
      <c r="F29" s="26">
        <f>IF($E$4="Yes",D29*$E$5,D29)</f>
        <v>1.7734593409445651E-2</v>
      </c>
      <c r="G29" s="25" t="str">
        <f>VLOOKUP(A29,'[1]10-year CDS Spreads'!$A$2:$D$158,4,FALSE)</f>
        <v>NA</v>
      </c>
      <c r="H29" s="26" t="str">
        <f>IF(I29="NA","NA",$E$3+I29)</f>
        <v>NA</v>
      </c>
      <c r="I29" s="31" t="str">
        <f>IF(G29="NA","NA",G29*$E$5)</f>
        <v>NA</v>
      </c>
      <c r="J29" s="7" t="str">
        <f>B210</f>
        <v>Caa3</v>
      </c>
      <c r="K29" s="33">
        <f>C210</f>
        <v>983.42189092762476</v>
      </c>
    </row>
    <row r="30" spans="1:11" ht="15.75" hidden="1">
      <c r="A30" s="30" t="str">
        <f>'[1]Sovereign Ratings (Moody''s,S&amp;P)'!A24</f>
        <v>Brazil</v>
      </c>
      <c r="B30" s="29" t="str">
        <f>VLOOKUP(A30,'[1]Regional lookup table'!$A$2:$B$162,2,FALSE)</f>
        <v>Central and South America</v>
      </c>
      <c r="C30" s="28" t="str">
        <f>VLOOKUP(A30,'[1]Sovereign Ratings (Moody''s,S&amp;P)'!$A$2:$D$158,4,FALSE)</f>
        <v>Ba1</v>
      </c>
      <c r="D30" s="27">
        <f>VLOOKUP(C30,$J$9:$K$31,2,FALSE)/10000</f>
        <v>2.4614437458000481E-2</v>
      </c>
      <c r="E30" s="27">
        <f>$E$3+F30</f>
        <v>7.913400388443062E-2</v>
      </c>
      <c r="F30" s="26">
        <f>IF($E$4="Yes",D30*$E$5,D30)</f>
        <v>3.7034003884430629E-2</v>
      </c>
      <c r="G30" s="25">
        <f>VLOOKUP(A30,'[1]10-year CDS Spreads'!$A$2:$D$158,4,FALSE)</f>
        <v>2.3799999999999998E-2</v>
      </c>
      <c r="H30" s="26">
        <f>IF(I30="NA","NA",$E$3+I30)</f>
        <v>7.7908630359860717E-2</v>
      </c>
      <c r="I30" s="31">
        <f>IF(G30="NA","NA",G30*$E$5)</f>
        <v>3.5808630359860719E-2</v>
      </c>
      <c r="J30" s="7" t="s">
        <v>4</v>
      </c>
      <c r="K30" s="32" t="str">
        <f>C211</f>
        <v>NA</v>
      </c>
    </row>
    <row r="31" spans="1:11" ht="15.75" hidden="1">
      <c r="A31" s="30" t="str">
        <f>'[1]Sovereign Ratings (Moody''s,S&amp;P)'!A25</f>
        <v>Bulgaria</v>
      </c>
      <c r="B31" s="29" t="str">
        <f>VLOOKUP(A31,'[1]Regional lookup table'!$A$2:$B$162,2,FALSE)</f>
        <v>Eastern Europe &amp; Russia</v>
      </c>
      <c r="C31" s="28" t="str">
        <f>VLOOKUP(A31,'[1]Sovereign Ratings (Moody''s,S&amp;P)'!$A$2:$D$158,4,FALSE)</f>
        <v>Baa1</v>
      </c>
      <c r="D31" s="27">
        <f>VLOOKUP(C31,$J$9:$K$31,2,FALSE)/10000</f>
        <v>1.5716260536563685E-2</v>
      </c>
      <c r="E31" s="27">
        <f>$E$3+F31</f>
        <v>6.5746124545927528E-2</v>
      </c>
      <c r="F31" s="26">
        <f>IF($E$4="Yes",D31*$E$5,D31)</f>
        <v>2.3646124545927533E-2</v>
      </c>
      <c r="G31" s="25">
        <f>VLOOKUP(A31,'[1]10-year CDS Spreads'!$A$2:$D$158,4,FALSE)</f>
        <v>9.4999999999999998E-3</v>
      </c>
      <c r="H31" s="26">
        <f>IF(I31="NA","NA",$E$3+I31)</f>
        <v>5.6393360857927594E-2</v>
      </c>
      <c r="I31" s="31">
        <f>IF(G31="NA","NA",G31*$E$5)</f>
        <v>1.4293360857927599E-2</v>
      </c>
    </row>
    <row r="32" spans="1:11" ht="15.75" hidden="1">
      <c r="A32" s="30" t="str">
        <f>'[1]Sovereign Ratings (Moody''s,S&amp;P)'!A26</f>
        <v>Burkina Faso</v>
      </c>
      <c r="B32" s="29" t="str">
        <f>VLOOKUP(A32,'[1]Regional lookup table'!$A$2:$B$162,2,FALSE)</f>
        <v>Africa</v>
      </c>
      <c r="C32" s="28" t="str">
        <f>VLOOKUP(A32,'[1]Sovereign Ratings (Moody''s,S&amp;P)'!$A$2:$D$158,4,FALSE)</f>
        <v>Caa1</v>
      </c>
      <c r="D32" s="27">
        <f>VLOOKUP(C32,$J$9:$K$31,2,FALSE)/10000</f>
        <v>7.3727751634761987E-2</v>
      </c>
      <c r="E32" s="27">
        <f>$E$3+F32</f>
        <v>0.15302814309045415</v>
      </c>
      <c r="F32" s="26">
        <f>IF($E$4="Yes",D32*$E$5,D32)</f>
        <v>0.11092814309045415</v>
      </c>
      <c r="G32" s="25" t="str">
        <f>VLOOKUP(A32,'[1]10-year CDS Spreads'!$A$2:$D$158,4,FALSE)</f>
        <v>NA</v>
      </c>
      <c r="H32" s="26" t="str">
        <f>IF(I32="NA","NA",$E$3+I32)</f>
        <v>NA</v>
      </c>
      <c r="I32" s="31" t="str">
        <f>IF(G32="NA","NA",G32*$E$5)</f>
        <v>NA</v>
      </c>
    </row>
    <row r="33" spans="1:9" ht="15.75" hidden="1">
      <c r="A33" s="30" t="str">
        <f>'[1]Sovereign Ratings (Moody''s,S&amp;P)'!A27</f>
        <v>Cambodia</v>
      </c>
      <c r="B33" s="29" t="str">
        <f>VLOOKUP(A33,'[1]Regional lookup table'!$A$2:$B$162,2,FALSE)</f>
        <v>Asia</v>
      </c>
      <c r="C33" s="28" t="str">
        <f>VLOOKUP(A33,'[1]Sovereign Ratings (Moody''s,S&amp;P)'!$A$2:$D$158,4,FALSE)</f>
        <v>B2</v>
      </c>
      <c r="D33" s="27">
        <f>VLOOKUP(C33,$J$9:$K$31,2,FALSE)/10000</f>
        <v>5.4082425964057379E-2</v>
      </c>
      <c r="E33" s="27">
        <f>$E$3+F33</f>
        <v>0.12347048740804473</v>
      </c>
      <c r="F33" s="26">
        <f>IF($E$4="Yes",D33*$E$5,D33)</f>
        <v>8.1370487408044728E-2</v>
      </c>
      <c r="G33" s="25" t="str">
        <f>VLOOKUP(A33,'[1]10-year CDS Spreads'!$A$2:$D$158,4,FALSE)</f>
        <v>NA</v>
      </c>
      <c r="H33" s="26" t="str">
        <f>IF(I33="NA","NA",$E$3+I33)</f>
        <v>NA</v>
      </c>
      <c r="I33" s="31" t="str">
        <f>IF(G33="NA","NA",G33*$E$5)</f>
        <v>NA</v>
      </c>
    </row>
    <row r="34" spans="1:9" ht="15.75" hidden="1">
      <c r="A34" s="30" t="str">
        <f>'[1]Sovereign Ratings (Moody''s,S&amp;P)'!A28</f>
        <v>Cameroon</v>
      </c>
      <c r="B34" s="29" t="str">
        <f>VLOOKUP(A34,'[1]Regional lookup table'!$A$2:$B$162,2,FALSE)</f>
        <v>Africa</v>
      </c>
      <c r="C34" s="28" t="str">
        <f>VLOOKUP(A34,'[1]Sovereign Ratings (Moody''s,S&amp;P)'!$A$2:$D$158,4,FALSE)</f>
        <v>Caa1</v>
      </c>
      <c r="D34" s="27">
        <f>VLOOKUP(C34,$J$9:$K$31,2,FALSE)/10000</f>
        <v>7.3727751634761987E-2</v>
      </c>
      <c r="E34" s="27">
        <f>$E$3+F34</f>
        <v>0.15302814309045415</v>
      </c>
      <c r="F34" s="26">
        <f>IF($E$4="Yes",D34*$E$5,D34)</f>
        <v>0.11092814309045415</v>
      </c>
      <c r="G34" s="25">
        <f>VLOOKUP(A34,'[1]10-year CDS Spreads'!$A$2:$D$158,4,FALSE)</f>
        <v>7.8600000000000003E-2</v>
      </c>
      <c r="H34" s="26">
        <f>IF(I34="NA","NA",$E$3+I34)</f>
        <v>0.16035875404559044</v>
      </c>
      <c r="I34" s="31">
        <f>IF(G34="NA","NA",G34*$E$5)</f>
        <v>0.11825875404559044</v>
      </c>
    </row>
    <row r="35" spans="1:9" ht="15.75" hidden="1">
      <c r="A35" s="30" t="str">
        <f>'[1]Sovereign Ratings (Moody''s,S&amp;P)'!A29</f>
        <v>Canada</v>
      </c>
      <c r="B35" s="29" t="str">
        <f>VLOOKUP(A35,'[1]Regional lookup table'!$A$2:$B$162,2,FALSE)</f>
        <v>North America</v>
      </c>
      <c r="C35" s="28" t="str">
        <f>VLOOKUP(A35,'[1]Sovereign Ratings (Moody''s,S&amp;P)'!$A$2:$D$158,4,FALSE)</f>
        <v>Aaa</v>
      </c>
      <c r="D35" s="27">
        <f>VLOOKUP(C35,$J$9:$K$31,2,FALSE)/10000</f>
        <v>0</v>
      </c>
      <c r="E35" s="27">
        <f>$E$3+F35</f>
        <v>4.2099999999999999E-2</v>
      </c>
      <c r="F35" s="26">
        <f>IF($E$4="Yes",D35*$E$5,D35)</f>
        <v>0</v>
      </c>
      <c r="G35" s="25">
        <f>VLOOKUP(A35,'[1]10-year CDS Spreads'!$A$2:$D$158,4,FALSE)</f>
        <v>2E-3</v>
      </c>
      <c r="H35" s="26">
        <f>IF(I35="NA","NA",$E$3+I35)</f>
        <v>4.5109128601668963E-2</v>
      </c>
      <c r="I35" s="31">
        <f>IF(G35="NA","NA",G35*$E$5)</f>
        <v>3.0091286016689679E-3</v>
      </c>
    </row>
    <row r="36" spans="1:9" ht="15.75" hidden="1">
      <c r="A36" s="30" t="str">
        <f>'[1]Sovereign Ratings (Moody''s,S&amp;P)'!A30</f>
        <v>Cape Verde</v>
      </c>
      <c r="B36" s="29" t="str">
        <f>VLOOKUP(A36,'[1]Regional lookup table'!$A$2:$B$162,2,FALSE)</f>
        <v>Africa</v>
      </c>
      <c r="C36" s="28" t="str">
        <f>VLOOKUP(A36,'[1]Sovereign Ratings (Moody''s,S&amp;P)'!$A$2:$D$158,4,FALSE)</f>
        <v>B2</v>
      </c>
      <c r="D36" s="27">
        <f>VLOOKUP(C36,$J$9:$K$31,2,FALSE)/10000</f>
        <v>5.4082425964057379E-2</v>
      </c>
      <c r="E36" s="27">
        <f>$E$3+F36</f>
        <v>0.12347048740804473</v>
      </c>
      <c r="F36" s="26">
        <f>IF($E$4="Yes",D36*$E$5,D36)</f>
        <v>8.1370487408044728E-2</v>
      </c>
      <c r="G36" s="25" t="str">
        <f>VLOOKUP(A36,'[1]10-year CDS Spreads'!$A$2:$D$158,4,FALSE)</f>
        <v>NA</v>
      </c>
      <c r="H36" s="26" t="str">
        <f>IF(I36="NA","NA",$E$3+I36)</f>
        <v>NA</v>
      </c>
      <c r="I36" s="31" t="str">
        <f>IF(G36="NA","NA",G36*$E$5)</f>
        <v>NA</v>
      </c>
    </row>
    <row r="37" spans="1:9" ht="15.75" hidden="1">
      <c r="A37" s="30" t="str">
        <f>'[1]Sovereign Ratings (Moody''s,S&amp;P)'!A31</f>
        <v>Cayman Islands</v>
      </c>
      <c r="B37" s="29" t="str">
        <f>VLOOKUP(A37,'[1]Regional lookup table'!$A$2:$B$162,2,FALSE)</f>
        <v>Caribbean</v>
      </c>
      <c r="C37" s="28" t="str">
        <f>VLOOKUP(A37,'[1]Sovereign Ratings (Moody''s,S&amp;P)'!$A$2:$D$158,4,FALSE)</f>
        <v>Aa3</v>
      </c>
      <c r="D37" s="27">
        <f>VLOOKUP(C37,$J$9:$K$31,2,FALSE)/10000</f>
        <v>5.8935977012113828E-3</v>
      </c>
      <c r="E37" s="27">
        <f>$E$3+F37</f>
        <v>5.0967296704722824E-2</v>
      </c>
      <c r="F37" s="26">
        <f>IF($E$4="Yes",D37*$E$5,D37)</f>
        <v>8.8672967047228254E-3</v>
      </c>
      <c r="G37" s="25" t="str">
        <f>VLOOKUP(A37,'[1]10-year CDS Spreads'!$A$2:$D$158,4,FALSE)</f>
        <v>NA</v>
      </c>
      <c r="H37" s="26" t="str">
        <f>IF(I37="NA","NA",$E$3+I37)</f>
        <v>NA</v>
      </c>
      <c r="I37" s="31" t="str">
        <f>IF(G37="NA","NA",G37*$E$5)</f>
        <v>NA</v>
      </c>
    </row>
    <row r="38" spans="1:9" ht="15.75" hidden="1">
      <c r="A38" s="30" t="str">
        <f>'[1]Sovereign Ratings (Moody''s,S&amp;P)'!A32</f>
        <v>Chile</v>
      </c>
      <c r="B38" s="29" t="str">
        <f>VLOOKUP(A38,'[1]Regional lookup table'!$A$2:$B$162,2,FALSE)</f>
        <v>Central and South America</v>
      </c>
      <c r="C38" s="28" t="str">
        <f>VLOOKUP(A38,'[1]Sovereign Ratings (Moody''s,S&amp;P)'!$A$2:$D$158,4,FALSE)</f>
        <v>A2</v>
      </c>
      <c r="D38" s="27">
        <f>VLOOKUP(C38,$J$9:$K$31,2,FALSE)/10000</f>
        <v>8.3203732252395985E-3</v>
      </c>
      <c r="E38" s="27">
        <f>$E$3+F38</f>
        <v>5.4618536524314573E-2</v>
      </c>
      <c r="F38" s="26">
        <f>IF($E$4="Yes",D38*$E$5,D38)</f>
        <v>1.2518536524314576E-2</v>
      </c>
      <c r="G38" s="25">
        <f>VLOOKUP(A38,'[1]10-year CDS Spreads'!$A$2:$D$158,4,FALSE)</f>
        <v>8.6999999999999994E-3</v>
      </c>
      <c r="H38" s="26">
        <f>IF(I38="NA","NA",$E$3+I38)</f>
        <v>5.5189709417260008E-2</v>
      </c>
      <c r="I38" s="31">
        <f>IF(G38="NA","NA",G38*$E$5)</f>
        <v>1.3089709417260009E-2</v>
      </c>
    </row>
    <row r="39" spans="1:9" ht="15.75" hidden="1">
      <c r="A39" s="30" t="str">
        <f>'[1]Sovereign Ratings (Moody''s,S&amp;P)'!A33</f>
        <v>China</v>
      </c>
      <c r="B39" s="29" t="str">
        <f>VLOOKUP(A39,'[1]Regional lookup table'!$A$2:$B$162,2,FALSE)</f>
        <v>Asia</v>
      </c>
      <c r="C39" s="28" t="str">
        <f>VLOOKUP(A39,'[1]Sovereign Ratings (Moody''s,S&amp;P)'!$A$2:$D$158,4,FALSE)</f>
        <v>A1</v>
      </c>
      <c r="D39" s="27">
        <f>VLOOKUP(C39,$J$9:$K$31,2,FALSE)/10000</f>
        <v>6.9336443543663332E-3</v>
      </c>
      <c r="E39" s="27">
        <f>$E$3+F39</f>
        <v>5.2532113770262151E-2</v>
      </c>
      <c r="F39" s="26">
        <f>IF($E$4="Yes",D39*$E$5,D39)</f>
        <v>1.0432113770262149E-2</v>
      </c>
      <c r="G39" s="25">
        <f>VLOOKUP(A39,'[1]10-year CDS Spreads'!$A$2:$D$158,4,FALSE)</f>
        <v>5.7999999999999996E-3</v>
      </c>
      <c r="H39" s="26">
        <f>IF(I39="NA","NA",$E$3+I39)</f>
        <v>5.0826472944840009E-2</v>
      </c>
      <c r="I39" s="31">
        <f>IF(G39="NA","NA",G39*$E$5)</f>
        <v>8.7264729448400073E-3</v>
      </c>
    </row>
    <row r="40" spans="1:9" ht="15.75" hidden="1">
      <c r="A40" s="30" t="str">
        <f>'[1]Sovereign Ratings (Moody''s,S&amp;P)'!A34</f>
        <v>Colombia</v>
      </c>
      <c r="B40" s="29" t="str">
        <f>VLOOKUP(A40,'[1]Regional lookup table'!$A$2:$B$162,2,FALSE)</f>
        <v>Central and South America</v>
      </c>
      <c r="C40" s="28" t="str">
        <f>VLOOKUP(A40,'[1]Sovereign Ratings (Moody''s,S&amp;P)'!$A$2:$D$158,4,FALSE)</f>
        <v>Baa3</v>
      </c>
      <c r="D40" s="27">
        <f>VLOOKUP(C40,$J$9:$K$31,2,FALSE)/10000</f>
        <v>2.160985823777507E-2</v>
      </c>
      <c r="E40" s="27">
        <f>$E$3+F40</f>
        <v>7.4613421250650361E-2</v>
      </c>
      <c r="F40" s="26">
        <f>IF($E$4="Yes",D40*$E$5,D40)</f>
        <v>3.2513421250650362E-2</v>
      </c>
      <c r="G40" s="25">
        <f>VLOOKUP(A40,'[1]10-year CDS Spreads'!$A$2:$D$158,4,FALSE)</f>
        <v>3.3099999999999997E-2</v>
      </c>
      <c r="H40" s="26">
        <f>IF(I40="NA","NA",$E$3+I40)</f>
        <v>9.1901078357621416E-2</v>
      </c>
      <c r="I40" s="31">
        <f>IF(G40="NA","NA",G40*$E$5)</f>
        <v>4.9801078357621417E-2</v>
      </c>
    </row>
    <row r="41" spans="1:9" ht="15.75" hidden="1">
      <c r="A41" s="30" t="str">
        <f>'[1]Sovereign Ratings (Moody''s,S&amp;P)'!A35</f>
        <v>Congo (Democratic Republic of)</v>
      </c>
      <c r="B41" s="29" t="str">
        <f>VLOOKUP(A41,'[1]Regional lookup table'!$A$2:$B$162,2,FALSE)</f>
        <v>Africa</v>
      </c>
      <c r="C41" s="28" t="str">
        <f>VLOOKUP(A41,'[1]Sovereign Ratings (Moody''s,S&amp;P)'!$A$2:$D$158,4,FALSE)</f>
        <v>B3</v>
      </c>
      <c r="D41" s="27">
        <f>VLOOKUP(C41,$J$9:$K$31,2,FALSE)/10000</f>
        <v>6.3905088799409676E-2</v>
      </c>
      <c r="E41" s="27">
        <f>$E$3+F41</f>
        <v>0.13824931524924944</v>
      </c>
      <c r="F41" s="26">
        <f>IF($E$4="Yes",D41*$E$5,D41)</f>
        <v>9.614931524924944E-2</v>
      </c>
      <c r="G41" s="25" t="str">
        <f>VLOOKUP(A41,'[1]10-year CDS Spreads'!$A$2:$D$158,4,FALSE)</f>
        <v>NA</v>
      </c>
      <c r="H41" s="26" t="str">
        <f>IF(I41="NA","NA",$E$3+I41)</f>
        <v>NA</v>
      </c>
      <c r="I41" s="31" t="str">
        <f>IF(G41="NA","NA",G41*$E$5)</f>
        <v>NA</v>
      </c>
    </row>
    <row r="42" spans="1:9" ht="15.75" hidden="1">
      <c r="A42" s="30" t="str">
        <f>'[1]Sovereign Ratings (Moody''s,S&amp;P)'!A36</f>
        <v>Congo (Republic of)</v>
      </c>
      <c r="B42" s="29" t="str">
        <f>VLOOKUP(A42,'[1]Regional lookup table'!$A$2:$B$162,2,FALSE)</f>
        <v>Africa</v>
      </c>
      <c r="C42" s="28" t="str">
        <f>VLOOKUP(A42,'[1]Sovereign Ratings (Moody''s,S&amp;P)'!$A$2:$D$158,4,FALSE)</f>
        <v>Caa2</v>
      </c>
      <c r="D42" s="27">
        <f>VLOOKUP(C42,$J$9:$K$31,2,FALSE)/10000</f>
        <v>8.851952625741015E-2</v>
      </c>
      <c r="E42" s="27">
        <f>$E$3+F42</f>
        <v>0.17528331913368006</v>
      </c>
      <c r="F42" s="26">
        <f>IF($E$4="Yes",D42*$E$5,D42)</f>
        <v>0.13318331913368006</v>
      </c>
      <c r="G42" s="25" t="str">
        <f>VLOOKUP(A42,'[1]10-year CDS Spreads'!$A$2:$D$158,4,FALSE)</f>
        <v>NA</v>
      </c>
      <c r="H42" s="26" t="str">
        <f>IF(I42="NA","NA",$E$3+I42)</f>
        <v>NA</v>
      </c>
      <c r="I42" s="31" t="str">
        <f>IF(G42="NA","NA",G42*$E$5)</f>
        <v>NA</v>
      </c>
    </row>
    <row r="43" spans="1:9" ht="15.75" hidden="1">
      <c r="A43" s="30" t="str">
        <f>'[1]Sovereign Ratings (Moody''s,S&amp;P)'!A37</f>
        <v>Cook Islands</v>
      </c>
      <c r="B43" s="29" t="str">
        <f>VLOOKUP(A43,'[1]Regional lookup table'!$A$2:$B$162,2,FALSE)</f>
        <v>Australia &amp; New Zealand</v>
      </c>
      <c r="C43" s="28" t="str">
        <f>VLOOKUP(A43,'[1]Sovereign Ratings (Moody''s,S&amp;P)'!$A$2:$D$158,4,FALSE)</f>
        <v>B1</v>
      </c>
      <c r="D43" s="27">
        <f>VLOOKUP(C43,$J$9:$K$31,2,FALSE)/10000</f>
        <v>4.4259763128705075E-2</v>
      </c>
      <c r="E43" s="27">
        <f>$E$3+F43</f>
        <v>0.10869165956684003</v>
      </c>
      <c r="F43" s="26">
        <f>IF($E$4="Yes",D43*$E$5,D43)</f>
        <v>6.6591659566840031E-2</v>
      </c>
      <c r="G43" s="25" t="str">
        <f>VLOOKUP(A43,'[1]10-year CDS Spreads'!$A$2:$D$158,4,FALSE)</f>
        <v>NA</v>
      </c>
      <c r="H43" s="26" t="str">
        <f>IF(I43="NA","NA",$E$3+I43)</f>
        <v>NA</v>
      </c>
      <c r="I43" s="31" t="str">
        <f>IF(G43="NA","NA",G43*$E$5)</f>
        <v>NA</v>
      </c>
    </row>
    <row r="44" spans="1:9" ht="15.75" hidden="1">
      <c r="A44" s="30" t="str">
        <f>'[1]Sovereign Ratings (Moody''s,S&amp;P)'!A38</f>
        <v>Costa Rica</v>
      </c>
      <c r="B44" s="29" t="str">
        <f>VLOOKUP(A44,'[1]Regional lookup table'!$A$2:$B$162,2,FALSE)</f>
        <v>Central and South America</v>
      </c>
      <c r="C44" s="28" t="str">
        <f>VLOOKUP(A44,'[1]Sovereign Ratings (Moody''s,S&amp;P)'!$A$2:$D$158,4,FALSE)</f>
        <v>Ba3</v>
      </c>
      <c r="D44" s="27">
        <f>VLOOKUP(C44,$J$9:$K$31,2,FALSE)/10000</f>
        <v>3.5361586207268286E-2</v>
      </c>
      <c r="E44" s="27">
        <f>$E$3+F44</f>
        <v>9.5303780228336937E-2</v>
      </c>
      <c r="F44" s="26">
        <f>IF($E$4="Yes",D44*$E$5,D44)</f>
        <v>5.3203780228336939E-2</v>
      </c>
      <c r="G44" s="25">
        <f>VLOOKUP(A44,'[1]10-year CDS Spreads'!$A$2:$D$158,4,FALSE)</f>
        <v>2.3300000000000001E-2</v>
      </c>
      <c r="H44" s="26">
        <f>IF(I44="NA","NA",$E$3+I44)</f>
        <v>7.7156348209443476E-2</v>
      </c>
      <c r="I44" s="31">
        <f>IF(G44="NA","NA",G44*$E$5)</f>
        <v>3.5056348209443478E-2</v>
      </c>
    </row>
    <row r="45" spans="1:9" ht="15.75" hidden="1">
      <c r="A45" s="30" t="str">
        <f>'[1]Sovereign Ratings (Moody''s,S&amp;P)'!A39</f>
        <v>Côte d'Ivoire</v>
      </c>
      <c r="B45" s="29" t="str">
        <f>VLOOKUP(A45,'[1]Regional lookup table'!$A$2:$B$162,2,FALSE)</f>
        <v>Africa</v>
      </c>
      <c r="C45" s="28" t="str">
        <f>VLOOKUP(A45,'[1]Sovereign Ratings (Moody''s,S&amp;P)'!$A$2:$D$158,4,FALSE)</f>
        <v>Ba2</v>
      </c>
      <c r="D45" s="27">
        <f>VLOOKUP(C45,$J$9:$K$31,2,FALSE)/10000</f>
        <v>2.9583549245296346E-2</v>
      </c>
      <c r="E45" s="27">
        <f>$E$3+F45</f>
        <v>8.6610352086451819E-2</v>
      </c>
      <c r="F45" s="26">
        <f>IF($E$4="Yes",D45*$E$5,D45)</f>
        <v>4.4510352086451821E-2</v>
      </c>
      <c r="G45" s="25" t="str">
        <f>VLOOKUP(A45,'[1]10-year CDS Spreads'!$A$2:$D$158,4,FALSE)</f>
        <v>NA</v>
      </c>
      <c r="H45" s="26" t="str">
        <f>IF(I45="NA","NA",$E$3+I45)</f>
        <v>NA</v>
      </c>
      <c r="I45" s="31" t="str">
        <f>IF(G45="NA","NA",G45*$E$5)</f>
        <v>NA</v>
      </c>
    </row>
    <row r="46" spans="1:9" ht="15.75" hidden="1">
      <c r="A46" s="30" t="str">
        <f>'[1]Sovereign Ratings (Moody''s,S&amp;P)'!A40</f>
        <v>Croatia</v>
      </c>
      <c r="B46" s="29" t="str">
        <f>VLOOKUP(A46,'[1]Regional lookup table'!$A$2:$B$162,2,FALSE)</f>
        <v>Eastern Europe &amp; Russia</v>
      </c>
      <c r="C46" s="28" t="str">
        <f>VLOOKUP(A46,'[1]Sovereign Ratings (Moody''s,S&amp;P)'!$A$2:$D$158,4,FALSE)</f>
        <v>A3</v>
      </c>
      <c r="D46" s="27">
        <f>VLOOKUP(C46,$J$9:$K$31,2,FALSE)/10000</f>
        <v>1.1787195402422766E-2</v>
      </c>
      <c r="E46" s="27">
        <f>$E$3+F46</f>
        <v>5.9834593409445649E-2</v>
      </c>
      <c r="F46" s="26">
        <f>IF($E$4="Yes",D46*$E$5,D46)</f>
        <v>1.7734593409445651E-2</v>
      </c>
      <c r="G46" s="25">
        <f>VLOOKUP(A46,'[1]10-year CDS Spreads'!$A$2:$D$158,4,FALSE)</f>
        <v>1.0699999999999999E-2</v>
      </c>
      <c r="H46" s="26">
        <f>IF(I46="NA","NA",$E$3+I46)</f>
        <v>5.8198838018928972E-2</v>
      </c>
      <c r="I46" s="31">
        <f>IF(G46="NA","NA",G46*$E$5)</f>
        <v>1.6098838018928977E-2</v>
      </c>
    </row>
    <row r="47" spans="1:9" ht="15.75" hidden="1">
      <c r="A47" s="30" t="str">
        <f>'[1]Sovereign Ratings (Moody''s,S&amp;P)'!A41</f>
        <v>Cuba</v>
      </c>
      <c r="B47" s="29" t="str">
        <f>VLOOKUP(A47,'[1]Regional lookup table'!$A$2:$B$162,2,FALSE)</f>
        <v>Caribbean</v>
      </c>
      <c r="C47" s="28" t="str">
        <f>VLOOKUP(A47,'[1]Sovereign Ratings (Moody''s,S&amp;P)'!$A$2:$D$158,4,FALSE)</f>
        <v>Ca</v>
      </c>
      <c r="D47" s="27">
        <f>VLOOKUP(C47,$J$9:$K$31,2,FALSE)/10000</f>
        <v>0.11798751476346708</v>
      </c>
      <c r="E47" s="27">
        <f>$E$3+F47</f>
        <v>0.21961980265729422</v>
      </c>
      <c r="F47" s="26">
        <f>IF($E$4="Yes",D47*$E$5,D47)</f>
        <v>0.17751980265729422</v>
      </c>
      <c r="G47" s="25" t="str">
        <f>VLOOKUP(A47,'[1]10-year CDS Spreads'!$A$2:$D$158,4,FALSE)</f>
        <v>NA</v>
      </c>
      <c r="H47" s="26" t="str">
        <f>IF(I47="NA","NA",$E$3+I47)</f>
        <v>NA</v>
      </c>
      <c r="I47" s="31" t="str">
        <f>IF(G47="NA","NA",G47*$E$5)</f>
        <v>NA</v>
      </c>
    </row>
    <row r="48" spans="1:9" ht="15.75" hidden="1">
      <c r="A48" s="30" t="str">
        <f>'[1]Sovereign Ratings (Moody''s,S&amp;P)'!A42</f>
        <v>Curacao</v>
      </c>
      <c r="B48" s="29" t="str">
        <f>VLOOKUP(A48,'[1]Regional lookup table'!$A$2:$B$162,2,FALSE)</f>
        <v>Caribbean</v>
      </c>
      <c r="C48" s="28" t="str">
        <f>VLOOKUP(A48,'[1]Sovereign Ratings (Moody''s,S&amp;P)'!$A$2:$D$158,4,FALSE)</f>
        <v>Baa3</v>
      </c>
      <c r="D48" s="27">
        <f>VLOOKUP(C48,$J$9:$K$31,2,FALSE)/10000</f>
        <v>2.160985823777507E-2</v>
      </c>
      <c r="E48" s="27">
        <f>$E$3+F48</f>
        <v>7.4613421250650361E-2</v>
      </c>
      <c r="F48" s="26">
        <f>IF($E$4="Yes",D48*$E$5,D48)</f>
        <v>3.2513421250650362E-2</v>
      </c>
      <c r="G48" s="25" t="str">
        <f>VLOOKUP(A48,'[1]10-year CDS Spreads'!$A$2:$D$158,4,FALSE)</f>
        <v>NA</v>
      </c>
      <c r="H48" s="26" t="str">
        <f>IF(I48="NA","NA",$E$3+I48)</f>
        <v>NA</v>
      </c>
      <c r="I48" s="31" t="str">
        <f>IF(G48="NA","NA",G48*$E$5)</f>
        <v>NA</v>
      </c>
    </row>
    <row r="49" spans="1:9" ht="15.75" hidden="1">
      <c r="A49" s="30" t="str">
        <f>'[1]Sovereign Ratings (Moody''s,S&amp;P)'!A43</f>
        <v>Cyprus</v>
      </c>
      <c r="B49" s="29" t="str">
        <f>VLOOKUP(A49,'[1]Regional lookup table'!$A$2:$B$162,2,FALSE)</f>
        <v>Western Europe</v>
      </c>
      <c r="C49" s="28" t="str">
        <f>VLOOKUP(A49,'[1]Sovereign Ratings (Moody''s,S&amp;P)'!$A$2:$D$158,4,FALSE)</f>
        <v>A3</v>
      </c>
      <c r="D49" s="27">
        <f>VLOOKUP(C49,$J$9:$K$31,2,FALSE)/10000</f>
        <v>1.1787195402422766E-2</v>
      </c>
      <c r="E49" s="27">
        <f>$E$3+F49</f>
        <v>5.9834593409445649E-2</v>
      </c>
      <c r="F49" s="26">
        <f>IF($E$4="Yes",D49*$E$5,D49)</f>
        <v>1.7734593409445651E-2</v>
      </c>
      <c r="G49" s="25">
        <f>VLOOKUP(A49,'[1]10-year CDS Spreads'!$A$2:$D$158,4,FALSE)</f>
        <v>6.5000000000000006E-3</v>
      </c>
      <c r="H49" s="26">
        <f>IF(I49="NA","NA",$E$3+I49)</f>
        <v>5.1879667955424147E-2</v>
      </c>
      <c r="I49" s="31">
        <f>IF(G49="NA","NA",G49*$E$5)</f>
        <v>9.7796679554241466E-3</v>
      </c>
    </row>
    <row r="50" spans="1:9" ht="15.75" hidden="1">
      <c r="A50" s="30" t="str">
        <f>'[1]Sovereign Ratings (Moody''s,S&amp;P)'!A44</f>
        <v>Czech Republic</v>
      </c>
      <c r="B50" s="29" t="str">
        <f>VLOOKUP(A50,'[1]Regional lookup table'!$A$2:$B$162,2,FALSE)</f>
        <v>Eastern Europe &amp; Russia</v>
      </c>
      <c r="C50" s="28" t="str">
        <f>VLOOKUP(A50,'[1]Sovereign Ratings (Moody''s,S&amp;P)'!$A$2:$D$158,4,FALSE)</f>
        <v>Aa3</v>
      </c>
      <c r="D50" s="27">
        <f>VLOOKUP(C50,$J$9:$K$31,2,FALSE)/10000</f>
        <v>5.8935977012113828E-3</v>
      </c>
      <c r="E50" s="27">
        <f>$E$3+F50</f>
        <v>5.0967296704722824E-2</v>
      </c>
      <c r="F50" s="26">
        <f>IF($E$4="Yes",D50*$E$5,D50)</f>
        <v>8.8672967047228254E-3</v>
      </c>
      <c r="G50" s="25">
        <f>VLOOKUP(A50,'[1]10-year CDS Spreads'!$A$2:$D$158,4,FALSE)</f>
        <v>3.7000000000000002E-3</v>
      </c>
      <c r="H50" s="26">
        <f>IF(I50="NA","NA",$E$3+I50)</f>
        <v>4.766688791308759E-2</v>
      </c>
      <c r="I50" s="31">
        <f>IF(G50="NA","NA",G50*$E$5)</f>
        <v>5.5668879130875912E-3</v>
      </c>
    </row>
    <row r="51" spans="1:9" ht="15.75" hidden="1">
      <c r="A51" s="30" t="str">
        <f>'[1]Sovereign Ratings (Moody''s,S&amp;P)'!A45</f>
        <v>Denmark</v>
      </c>
      <c r="B51" s="29" t="str">
        <f>VLOOKUP(A51,'[1]Regional lookup table'!$A$2:$B$162,2,FALSE)</f>
        <v>Western Europe</v>
      </c>
      <c r="C51" s="28" t="str">
        <f>VLOOKUP(A51,'[1]Sovereign Ratings (Moody''s,S&amp;P)'!$A$2:$D$158,4,FALSE)</f>
        <v>Aaa</v>
      </c>
      <c r="D51" s="27">
        <f>VLOOKUP(C51,$J$9:$K$31,2,FALSE)/10000</f>
        <v>0</v>
      </c>
      <c r="E51" s="27">
        <f>$E$3+F51</f>
        <v>4.2099999999999999E-2</v>
      </c>
      <c r="F51" s="26">
        <f>IF($E$4="Yes",D51*$E$5,D51)</f>
        <v>0</v>
      </c>
      <c r="G51" s="25">
        <f>VLOOKUP(A51,'[1]10-year CDS Spreads'!$A$2:$D$158,4,FALSE)</f>
        <v>3.9999999999999996E-4</v>
      </c>
      <c r="H51" s="26">
        <f>IF(I51="NA","NA",$E$3+I51)</f>
        <v>4.2701825720333791E-2</v>
      </c>
      <c r="I51" s="31">
        <f>IF(G51="NA","NA",G51*$E$5)</f>
        <v>6.0182572033379354E-4</v>
      </c>
    </row>
    <row r="52" spans="1:9" ht="15.75" hidden="1">
      <c r="A52" s="30" t="str">
        <f>'[1]Sovereign Ratings (Moody''s,S&amp;P)'!A46</f>
        <v>Dominican Republic</v>
      </c>
      <c r="B52" s="29" t="str">
        <f>VLOOKUP(A52,'[1]Regional lookup table'!$A$2:$B$162,2,FALSE)</f>
        <v>Caribbean</v>
      </c>
      <c r="C52" s="28" t="str">
        <f>VLOOKUP(A52,'[1]Sovereign Ratings (Moody''s,S&amp;P)'!$A$2:$D$158,4,FALSE)</f>
        <v>Ba3</v>
      </c>
      <c r="D52" s="27">
        <f>VLOOKUP(C52,$J$9:$K$31,2,FALSE)/10000</f>
        <v>3.5361586207268286E-2</v>
      </c>
      <c r="E52" s="27">
        <f>$E$3+F52</f>
        <v>9.5303780228336937E-2</v>
      </c>
      <c r="F52" s="26">
        <f>IF($E$4="Yes",D52*$E$5,D52)</f>
        <v>5.3203780228336939E-2</v>
      </c>
      <c r="G52" s="25" t="str">
        <f>VLOOKUP(A52,'[1]10-year CDS Spreads'!$A$2:$D$158,4,FALSE)</f>
        <v>NA</v>
      </c>
      <c r="H52" s="26" t="str">
        <f>IF(I52="NA","NA",$E$3+I52)</f>
        <v>NA</v>
      </c>
      <c r="I52" s="31" t="str">
        <f>IF(G52="NA","NA",G52*$E$5)</f>
        <v>NA</v>
      </c>
    </row>
    <row r="53" spans="1:9" ht="15.75" hidden="1">
      <c r="A53" s="30" t="str">
        <f>'[1]Sovereign Ratings (Moody''s,S&amp;P)'!A47</f>
        <v>Ecuador</v>
      </c>
      <c r="B53" s="29" t="str">
        <f>VLOOKUP(A53,'[1]Regional lookup table'!$A$2:$B$162,2,FALSE)</f>
        <v>Central and South America</v>
      </c>
      <c r="C53" s="28" t="str">
        <f>VLOOKUP(A53,'[1]Sovereign Ratings (Moody''s,S&amp;P)'!$A$2:$D$158,4,FALSE)</f>
        <v>Caa3</v>
      </c>
      <c r="D53" s="27">
        <f>VLOOKUP(C53,$J$9:$K$31,2,FALSE)/10000</f>
        <v>9.8342189092762475E-2</v>
      </c>
      <c r="E53" s="27">
        <f>$E$3+F53</f>
        <v>0.1900621469748848</v>
      </c>
      <c r="F53" s="26">
        <f>IF($E$4="Yes",D53*$E$5,D53)</f>
        <v>0.1479621469748848</v>
      </c>
      <c r="G53" s="25">
        <f>VLOOKUP(A53,'[1]10-year CDS Spreads'!$A$2:$D$158,4,FALSE)</f>
        <v>0.12250000000000001</v>
      </c>
      <c r="H53" s="26">
        <f>IF(I53="NA","NA",$E$3+I53)</f>
        <v>0.22640912685222431</v>
      </c>
      <c r="I53" s="31">
        <f>IF(G53="NA","NA",G53*$E$5)</f>
        <v>0.18430912685222431</v>
      </c>
    </row>
    <row r="54" spans="1:9" ht="15.75" hidden="1">
      <c r="A54" s="30" t="str">
        <f>'[1]Sovereign Ratings (Moody''s,S&amp;P)'!A48</f>
        <v>Egypt</v>
      </c>
      <c r="B54" s="29" t="str">
        <f>VLOOKUP(A54,'[1]Regional lookup table'!$A$2:$B$162,2,FALSE)</f>
        <v>Africa</v>
      </c>
      <c r="C54" s="28" t="str">
        <f>VLOOKUP(A54,'[1]Sovereign Ratings (Moody''s,S&amp;P)'!$A$2:$D$158,4,FALSE)</f>
        <v>Caa1</v>
      </c>
      <c r="D54" s="27">
        <f>VLOOKUP(C54,$J$9:$K$31,2,FALSE)/10000</f>
        <v>7.3727751634761987E-2</v>
      </c>
      <c r="E54" s="27">
        <f>$E$3+F54</f>
        <v>0.15302814309045415</v>
      </c>
      <c r="F54" s="26">
        <f>IF($E$4="Yes",D54*$E$5,D54)</f>
        <v>0.11092814309045415</v>
      </c>
      <c r="G54" s="25">
        <f>VLOOKUP(A54,'[1]10-year CDS Spreads'!$A$2:$D$158,4,FALSE)</f>
        <v>6.4400000000000013E-2</v>
      </c>
      <c r="H54" s="26">
        <f>IF(I54="NA","NA",$E$3+I54)</f>
        <v>0.13899394097374079</v>
      </c>
      <c r="I54" s="31">
        <f>IF(G54="NA","NA",G54*$E$5)</f>
        <v>9.6893940973740794E-2</v>
      </c>
    </row>
    <row r="55" spans="1:9" ht="15.75" hidden="1">
      <c r="A55" s="30" t="str">
        <f>'[1]Sovereign Ratings (Moody''s,S&amp;P)'!A49</f>
        <v>El Salvador</v>
      </c>
      <c r="B55" s="29" t="str">
        <f>VLOOKUP(A55,'[1]Regional lookup table'!$A$2:$B$162,2,FALSE)</f>
        <v>Central and South America</v>
      </c>
      <c r="C55" s="28" t="str">
        <f>VLOOKUP(A55,'[1]Sovereign Ratings (Moody''s,S&amp;P)'!$A$2:$D$158,4,FALSE)</f>
        <v>B3</v>
      </c>
      <c r="D55" s="27">
        <f>VLOOKUP(C55,$J$9:$K$31,2,FALSE)/10000</f>
        <v>6.3905088799409676E-2</v>
      </c>
      <c r="E55" s="27">
        <f>$E$3+F55</f>
        <v>0.13824931524924944</v>
      </c>
      <c r="F55" s="26">
        <f>IF($E$4="Yes",D55*$E$5,D55)</f>
        <v>9.614931524924944E-2</v>
      </c>
      <c r="G55" s="25">
        <f>VLOOKUP(A55,'[1]10-year CDS Spreads'!$A$2:$D$158,4,FALSE)</f>
        <v>4.2999999999999997E-2</v>
      </c>
      <c r="H55" s="26">
        <f>IF(I55="NA","NA",$E$3+I55)</f>
        <v>0.1067962649358828</v>
      </c>
      <c r="I55" s="31">
        <f>IF(G55="NA","NA",G55*$E$5)</f>
        <v>6.4696264935882805E-2</v>
      </c>
    </row>
    <row r="56" spans="1:9" ht="15.75" hidden="1">
      <c r="A56" s="30" t="str">
        <f>'[1]Sovereign Ratings (Moody''s,S&amp;P)'!A50</f>
        <v>Estonia</v>
      </c>
      <c r="B56" s="29" t="str">
        <f>VLOOKUP(A56,'[1]Regional lookup table'!$A$2:$B$162,2,FALSE)</f>
        <v>Eastern Europe &amp; Russia</v>
      </c>
      <c r="C56" s="28" t="str">
        <f>VLOOKUP(A56,'[1]Sovereign Ratings (Moody''s,S&amp;P)'!$A$2:$D$158,4,FALSE)</f>
        <v>A1</v>
      </c>
      <c r="D56" s="27">
        <f>VLOOKUP(C56,$J$9:$K$31,2,FALSE)/10000</f>
        <v>6.9336443543663332E-3</v>
      </c>
      <c r="E56" s="27">
        <f>$E$3+F56</f>
        <v>5.2532113770262151E-2</v>
      </c>
      <c r="F56" s="26">
        <f>IF($E$4="Yes",D56*$E$5,D56)</f>
        <v>1.0432113770262149E-2</v>
      </c>
      <c r="G56" s="25">
        <f>VLOOKUP(A56,'[1]10-year CDS Spreads'!$A$2:$D$158,4,FALSE)</f>
        <v>7.5999999999999991E-3</v>
      </c>
      <c r="H56" s="26">
        <f>IF(I56="NA","NA",$E$3+I56)</f>
        <v>5.3534688686342077E-2</v>
      </c>
      <c r="I56" s="31">
        <f>IF(G56="NA","NA",G56*$E$5)</f>
        <v>1.1434688686342077E-2</v>
      </c>
    </row>
    <row r="57" spans="1:9" ht="15.75" hidden="1">
      <c r="A57" s="30" t="str">
        <f>'[1]Sovereign Ratings (Moody''s,S&amp;P)'!A51</f>
        <v>Ethiopia</v>
      </c>
      <c r="B57" s="29" t="str">
        <f>VLOOKUP(A57,'[1]Regional lookup table'!$A$2:$B$162,2,FALSE)</f>
        <v>Africa</v>
      </c>
      <c r="C57" s="28" t="str">
        <f>VLOOKUP(A57,'[1]Sovereign Ratings (Moody''s,S&amp;P)'!$A$2:$D$158,4,FALSE)</f>
        <v>Caa2</v>
      </c>
      <c r="D57" s="27">
        <f>VLOOKUP(C57,$J$9:$K$31,2,FALSE)/10000</f>
        <v>8.851952625741015E-2</v>
      </c>
      <c r="E57" s="27">
        <f>$E$3+F57</f>
        <v>0.17528331913368006</v>
      </c>
      <c r="F57" s="26">
        <f>IF($E$4="Yes",D57*$E$5,D57)</f>
        <v>0.13318331913368006</v>
      </c>
      <c r="G57" s="25" t="str">
        <f>VLOOKUP(A57,'[1]10-year CDS Spreads'!$A$2:$D$158,4,FALSE)</f>
        <v>NA</v>
      </c>
      <c r="H57" s="26" t="str">
        <f>IF(I57="NA","NA",$E$3+I57)</f>
        <v>NA</v>
      </c>
      <c r="I57" s="31" t="str">
        <f>IF(G57="NA","NA",G57*$E$5)</f>
        <v>NA</v>
      </c>
    </row>
    <row r="58" spans="1:9" ht="15.75" hidden="1">
      <c r="A58" s="30" t="str">
        <f>'[1]Sovereign Ratings (Moody''s,S&amp;P)'!A52</f>
        <v>Fiji</v>
      </c>
      <c r="B58" s="29" t="str">
        <f>VLOOKUP(A58,'[1]Regional lookup table'!$A$2:$B$162,2,FALSE)</f>
        <v>Asia</v>
      </c>
      <c r="C58" s="28" t="str">
        <f>VLOOKUP(A58,'[1]Sovereign Ratings (Moody''s,S&amp;P)'!$A$2:$D$158,4,FALSE)</f>
        <v>B1</v>
      </c>
      <c r="D58" s="27">
        <f>VLOOKUP(C58,$J$9:$K$31,2,FALSE)/10000</f>
        <v>4.4259763128705075E-2</v>
      </c>
      <c r="E58" s="27">
        <f>$E$3+F58</f>
        <v>0.10869165956684003</v>
      </c>
      <c r="F58" s="26">
        <f>IF($E$4="Yes",D58*$E$5,D58)</f>
        <v>6.6591659566840031E-2</v>
      </c>
      <c r="G58" s="25" t="str">
        <f>VLOOKUP(A58,'[1]10-year CDS Spreads'!$A$2:$D$158,4,FALSE)</f>
        <v>NA</v>
      </c>
      <c r="H58" s="26" t="str">
        <f>IF(I58="NA","NA",$E$3+I58)</f>
        <v>NA</v>
      </c>
      <c r="I58" s="31" t="str">
        <f>IF(G58="NA","NA",G58*$E$5)</f>
        <v>NA</v>
      </c>
    </row>
    <row r="59" spans="1:9" ht="15.75" hidden="1">
      <c r="A59" s="30" t="str">
        <f>'[1]Sovereign Ratings (Moody''s,S&amp;P)'!A53</f>
        <v>Finland</v>
      </c>
      <c r="B59" s="29" t="str">
        <f>VLOOKUP(A59,'[1]Regional lookup table'!$A$2:$B$162,2,FALSE)</f>
        <v>Western Europe</v>
      </c>
      <c r="C59" s="28" t="str">
        <f>VLOOKUP(A59,'[1]Sovereign Ratings (Moody''s,S&amp;P)'!$A$2:$D$158,4,FALSE)</f>
        <v>Aa1</v>
      </c>
      <c r="D59" s="27">
        <f>VLOOKUP(C59,$J$9:$K$31,2,FALSE)/10000</f>
        <v>2.7000000000000001E-3</v>
      </c>
      <c r="E59" s="27">
        <f>$E$3+F59</f>
        <v>4.6162323612253107E-2</v>
      </c>
      <c r="F59" s="26">
        <f>IF($E$4="Yes",D59*$E$5,D59)</f>
        <v>4.0623236122531072E-3</v>
      </c>
      <c r="G59" s="25">
        <f>VLOOKUP(A59,'[1]10-year CDS Spreads'!$A$2:$D$158,4,FALSE)</f>
        <v>1.5000000000000002E-3</v>
      </c>
      <c r="H59" s="26">
        <f>IF(I59="NA","NA",$E$3+I59)</f>
        <v>4.4356846451251722E-2</v>
      </c>
      <c r="I59" s="31">
        <f>IF(G59="NA","NA",G59*$E$5)</f>
        <v>2.2568464512517264E-3</v>
      </c>
    </row>
    <row r="60" spans="1:9" ht="15.75" hidden="1">
      <c r="A60" s="30" t="str">
        <f>'[1]Sovereign Ratings (Moody''s,S&amp;P)'!A54</f>
        <v>France</v>
      </c>
      <c r="B60" s="29" t="str">
        <f>VLOOKUP(A60,'[1]Regional lookup table'!$A$2:$B$162,2,FALSE)</f>
        <v>Western Europe</v>
      </c>
      <c r="C60" s="28" t="str">
        <f>VLOOKUP(A60,'[1]Sovereign Ratings (Moody''s,S&amp;P)'!$A$2:$D$158,4,FALSE)</f>
        <v>Aa3</v>
      </c>
      <c r="D60" s="27">
        <f>VLOOKUP(C60,$J$9:$K$31,2,FALSE)/10000</f>
        <v>5.8935977012113828E-3</v>
      </c>
      <c r="E60" s="27">
        <f>$E$3+F60</f>
        <v>5.0967296704722824E-2</v>
      </c>
      <c r="F60" s="26">
        <f>IF($E$4="Yes",D60*$E$5,D60)</f>
        <v>8.8672967047228254E-3</v>
      </c>
      <c r="G60" s="25">
        <f>VLOOKUP(A60,'[1]10-year CDS Spreads'!$A$2:$D$158,4,FALSE)</f>
        <v>5.0999999999999995E-3</v>
      </c>
      <c r="H60" s="26">
        <f>IF(I60="NA","NA",$E$3+I60)</f>
        <v>4.9773277934255865E-2</v>
      </c>
      <c r="I60" s="31">
        <f>IF(G60="NA","NA",G60*$E$5)</f>
        <v>7.673277934255868E-3</v>
      </c>
    </row>
    <row r="61" spans="1:9" ht="15.75" hidden="1">
      <c r="A61" s="30" t="str">
        <f>'[1]Sovereign Ratings (Moody''s,S&amp;P)'!A55</f>
        <v>Gabon</v>
      </c>
      <c r="B61" s="29" t="str">
        <f>VLOOKUP(A61,'[1]Regional lookup table'!$A$2:$B$162,2,FALSE)</f>
        <v>Africa</v>
      </c>
      <c r="C61" s="28" t="str">
        <f>VLOOKUP(A61,'[1]Sovereign Ratings (Moody''s,S&amp;P)'!$A$2:$D$158,4,FALSE)</f>
        <v>Caa2</v>
      </c>
      <c r="D61" s="27">
        <f>VLOOKUP(C61,$J$9:$K$31,2,FALSE)/10000</f>
        <v>8.851952625741015E-2</v>
      </c>
      <c r="E61" s="27">
        <f>$E$3+F61</f>
        <v>0.17528331913368006</v>
      </c>
      <c r="F61" s="26">
        <f>IF($E$4="Yes",D61*$E$5,D61)</f>
        <v>0.13318331913368006</v>
      </c>
      <c r="G61" s="25" t="str">
        <f>VLOOKUP(A61,'[1]10-year CDS Spreads'!$A$2:$D$158,4,FALSE)</f>
        <v>NA</v>
      </c>
      <c r="H61" s="26" t="str">
        <f>IF(I61="NA","NA",$E$3+I61)</f>
        <v>NA</v>
      </c>
      <c r="I61" s="31" t="str">
        <f>IF(G61="NA","NA",G61*$E$5)</f>
        <v>NA</v>
      </c>
    </row>
    <row r="62" spans="1:9" ht="15.75" hidden="1">
      <c r="A62" s="30" t="str">
        <f>'[1]Sovereign Ratings (Moody''s,S&amp;P)'!A56</f>
        <v>Georgia</v>
      </c>
      <c r="B62" s="29" t="str">
        <f>VLOOKUP(A62,'[1]Regional lookup table'!$A$2:$B$162,2,FALSE)</f>
        <v>Eastern Europe &amp; Russia</v>
      </c>
      <c r="C62" s="28" t="str">
        <f>VLOOKUP(A62,'[1]Sovereign Ratings (Moody''s,S&amp;P)'!$A$2:$D$158,4,FALSE)</f>
        <v>Ba2</v>
      </c>
      <c r="D62" s="27">
        <f>VLOOKUP(C62,$J$9:$K$31,2,FALSE)/10000</f>
        <v>2.9583549245296346E-2</v>
      </c>
      <c r="E62" s="27">
        <f>$E$3+F62</f>
        <v>8.6610352086451819E-2</v>
      </c>
      <c r="F62" s="26">
        <f>IF($E$4="Yes",D62*$E$5,D62)</f>
        <v>4.4510352086451821E-2</v>
      </c>
      <c r="G62" s="25" t="str">
        <f>VLOOKUP(A62,'[1]10-year CDS Spreads'!$A$2:$D$158,4,FALSE)</f>
        <v>NA</v>
      </c>
      <c r="H62" s="26" t="str">
        <f>IF(I62="NA","NA",$E$3+I62)</f>
        <v>NA</v>
      </c>
      <c r="I62" s="31" t="str">
        <f>IF(G62="NA","NA",G62*$E$5)</f>
        <v>NA</v>
      </c>
    </row>
    <row r="63" spans="1:9" ht="15.75" hidden="1">
      <c r="A63" s="30" t="str">
        <f>'[1]Sovereign Ratings (Moody''s,S&amp;P)'!A57</f>
        <v>Germany</v>
      </c>
      <c r="B63" s="29" t="str">
        <f>VLOOKUP(A63,'[1]Regional lookup table'!$A$2:$B$162,2,FALSE)</f>
        <v>Western Europe</v>
      </c>
      <c r="C63" s="28" t="str">
        <f>VLOOKUP(A63,'[1]Sovereign Ratings (Moody''s,S&amp;P)'!$A$2:$D$158,4,FALSE)</f>
        <v>Aaa</v>
      </c>
      <c r="D63" s="27">
        <f>VLOOKUP(C63,$J$9:$K$31,2,FALSE)/10000</f>
        <v>0</v>
      </c>
      <c r="E63" s="27">
        <f>$E$3+F63</f>
        <v>4.2099999999999999E-2</v>
      </c>
      <c r="F63" s="26">
        <f>IF($E$4="Yes",D63*$E$5,D63)</f>
        <v>0</v>
      </c>
      <c r="G63" s="25">
        <f>VLOOKUP(A63,'[1]10-year CDS Spreads'!$A$2:$D$158,4,FALSE)</f>
        <v>6.9999999999999988E-4</v>
      </c>
      <c r="H63" s="26">
        <f>IF(I63="NA","NA",$E$3+I63)</f>
        <v>4.3153195010584136E-2</v>
      </c>
      <c r="I63" s="31">
        <f>IF(G63="NA","NA",G63*$E$5)</f>
        <v>1.0531950105841386E-3</v>
      </c>
    </row>
    <row r="64" spans="1:9" ht="15.75" hidden="1">
      <c r="A64" s="30" t="str">
        <f>'[1]Sovereign Ratings (Moody''s,S&amp;P)'!A58</f>
        <v>Ghana</v>
      </c>
      <c r="B64" s="29" t="str">
        <f>VLOOKUP(A64,'[1]Regional lookup table'!$A$2:$B$162,2,FALSE)</f>
        <v>Africa</v>
      </c>
      <c r="C64" s="28" t="str">
        <f>VLOOKUP(A64,'[1]Sovereign Ratings (Moody''s,S&amp;P)'!$A$2:$D$158,4,FALSE)</f>
        <v>Caa2</v>
      </c>
      <c r="D64" s="27">
        <f>VLOOKUP(C64,$J$9:$K$31,2,FALSE)/10000</f>
        <v>8.851952625741015E-2</v>
      </c>
      <c r="E64" s="27">
        <f>$E$3+F64</f>
        <v>0.17528331913368006</v>
      </c>
      <c r="F64" s="26">
        <f>IF($E$4="Yes",D64*$E$5,D64)</f>
        <v>0.13318331913368006</v>
      </c>
      <c r="G64" s="25" t="str">
        <f>VLOOKUP(A64,'[1]10-year CDS Spreads'!$A$2:$D$158,4,FALSE)</f>
        <v>NA</v>
      </c>
      <c r="H64" s="26" t="str">
        <f>IF(I64="NA","NA",$E$3+I64)</f>
        <v>NA</v>
      </c>
      <c r="I64" s="31" t="str">
        <f>IF(G64="NA","NA",G64*$E$5)</f>
        <v>NA</v>
      </c>
    </row>
    <row r="65" spans="1:9" ht="15.75" hidden="1">
      <c r="A65" s="30" t="str">
        <f>'[1]Sovereign Ratings (Moody''s,S&amp;P)'!A59</f>
        <v>Greece</v>
      </c>
      <c r="B65" s="29" t="str">
        <f>VLOOKUP(A65,'[1]Regional lookup table'!$A$2:$B$162,2,FALSE)</f>
        <v>Western Europe</v>
      </c>
      <c r="C65" s="28" t="str">
        <f>VLOOKUP(A65,'[1]Sovereign Ratings (Moody''s,S&amp;P)'!$A$2:$D$158,4,FALSE)</f>
        <v>Baa3</v>
      </c>
      <c r="D65" s="27">
        <f>VLOOKUP(C65,$J$9:$K$31,2,FALSE)/10000</f>
        <v>2.160985823777507E-2</v>
      </c>
      <c r="E65" s="27">
        <f>$E$3+F65</f>
        <v>7.4613421250650361E-2</v>
      </c>
      <c r="F65" s="26">
        <f>IF($E$4="Yes",D65*$E$5,D65)</f>
        <v>3.2513421250650362E-2</v>
      </c>
      <c r="G65" s="25">
        <f>VLOOKUP(A65,'[1]10-year CDS Spreads'!$A$2:$D$158,4,FALSE)</f>
        <v>8.6999999999999994E-3</v>
      </c>
      <c r="H65" s="26">
        <f>IF(I65="NA","NA",$E$3+I65)</f>
        <v>5.5189709417260008E-2</v>
      </c>
      <c r="I65" s="31">
        <f>IF(G65="NA","NA",G65*$E$5)</f>
        <v>1.3089709417260009E-2</v>
      </c>
    </row>
    <row r="66" spans="1:9" ht="15.75" hidden="1">
      <c r="A66" s="30" t="str">
        <f>'[1]Sovereign Ratings (Moody''s,S&amp;P)'!A60</f>
        <v>Guatemala</v>
      </c>
      <c r="B66" s="29" t="str">
        <f>VLOOKUP(A66,'[1]Regional lookup table'!$A$2:$B$162,2,FALSE)</f>
        <v>Central and South America</v>
      </c>
      <c r="C66" s="28" t="str">
        <f>VLOOKUP(A66,'[1]Sovereign Ratings (Moody''s,S&amp;P)'!$A$2:$D$158,4,FALSE)</f>
        <v>Ba1</v>
      </c>
      <c r="D66" s="27">
        <f>VLOOKUP(C66,$J$9:$K$31,2,FALSE)/10000</f>
        <v>2.4614437458000481E-2</v>
      </c>
      <c r="E66" s="27">
        <f>$E$3+F66</f>
        <v>7.913400388443062E-2</v>
      </c>
      <c r="F66" s="26">
        <f>IF($E$4="Yes",D66*$E$5,D66)</f>
        <v>3.7034003884430629E-2</v>
      </c>
      <c r="G66" s="25" t="str">
        <f>VLOOKUP(A66,'[1]10-year CDS Spreads'!$A$2:$D$158,4,FALSE)</f>
        <v>NA</v>
      </c>
      <c r="H66" s="26" t="str">
        <f>IF(I66="NA","NA",$E$3+I66)</f>
        <v>NA</v>
      </c>
      <c r="I66" s="31" t="str">
        <f>IF(G66="NA","NA",G66*$E$5)</f>
        <v>NA</v>
      </c>
    </row>
    <row r="67" spans="1:9" ht="15.75" hidden="1">
      <c r="A67" s="30" t="str">
        <f>'[1]Sovereign Ratings (Moody''s,S&amp;P)'!A61</f>
        <v>Guernsey (States of)</v>
      </c>
      <c r="B67" s="29" t="str">
        <f>VLOOKUP(A67,'[1]Regional lookup table'!$A$2:$B$162,2,FALSE)</f>
        <v>Western Europe</v>
      </c>
      <c r="C67" s="28" t="str">
        <f>VLOOKUP(A67,'[1]Sovereign Ratings (Moody''s,S&amp;P)'!$A$2:$D$158,4,FALSE)</f>
        <v>A1</v>
      </c>
      <c r="D67" s="27">
        <f>VLOOKUP(C67,$J$9:$K$31,2,FALSE)/10000</f>
        <v>6.9336443543663332E-3</v>
      </c>
      <c r="E67" s="27">
        <f>$E$3+F67</f>
        <v>5.2532113770262151E-2</v>
      </c>
      <c r="F67" s="26">
        <f>IF($E$4="Yes",D67*$E$5,D67)</f>
        <v>1.0432113770262149E-2</v>
      </c>
      <c r="G67" s="25" t="str">
        <f>VLOOKUP(A67,'[1]10-year CDS Spreads'!$A$2:$D$158,4,FALSE)</f>
        <v>NA</v>
      </c>
      <c r="H67" s="26" t="str">
        <f>IF(I67="NA","NA",$E$3+I67)</f>
        <v>NA</v>
      </c>
      <c r="I67" s="31" t="str">
        <f>IF(G67="NA","NA",G67*$E$5)</f>
        <v>NA</v>
      </c>
    </row>
    <row r="68" spans="1:9" ht="15.75" hidden="1">
      <c r="A68" s="30" t="str">
        <f>'[1]Sovereign Ratings (Moody''s,S&amp;P)'!A62</f>
        <v>Honduras</v>
      </c>
      <c r="B68" s="29" t="str">
        <f>VLOOKUP(A68,'[1]Regional lookup table'!$A$2:$B$162,2,FALSE)</f>
        <v>Central and South America</v>
      </c>
      <c r="C68" s="28" t="str">
        <f>VLOOKUP(A68,'[1]Sovereign Ratings (Moody''s,S&amp;P)'!$A$2:$D$158,4,FALSE)</f>
        <v>B1</v>
      </c>
      <c r="D68" s="27">
        <f>VLOOKUP(C68,$J$9:$K$31,2,FALSE)/10000</f>
        <v>4.4259763128705075E-2</v>
      </c>
      <c r="E68" s="27">
        <f>$E$3+F68</f>
        <v>0.10869165956684003</v>
      </c>
      <c r="F68" s="26">
        <f>IF($E$4="Yes",D68*$E$5,D68)</f>
        <v>6.6591659566840031E-2</v>
      </c>
      <c r="G68" s="25" t="str">
        <f>VLOOKUP(A68,'[1]10-year CDS Spreads'!$A$2:$D$158,4,FALSE)</f>
        <v>NA</v>
      </c>
      <c r="H68" s="26" t="str">
        <f>IF(I68="NA","NA",$E$3+I68)</f>
        <v>NA</v>
      </c>
      <c r="I68" s="31" t="str">
        <f>IF(G68="NA","NA",G68*$E$5)</f>
        <v>NA</v>
      </c>
    </row>
    <row r="69" spans="1:9" ht="15.75" hidden="1">
      <c r="A69" s="30" t="str">
        <f>'[1]Sovereign Ratings (Moody''s,S&amp;P)'!A63</f>
        <v>Hong Kong</v>
      </c>
      <c r="B69" s="29" t="str">
        <f>VLOOKUP(A69,'[1]Regional lookup table'!$A$2:$B$162,2,FALSE)</f>
        <v>Asia</v>
      </c>
      <c r="C69" s="28" t="str">
        <f>VLOOKUP(A69,'[1]Sovereign Ratings (Moody''s,S&amp;P)'!$A$2:$D$158,4,FALSE)</f>
        <v>Aa3</v>
      </c>
      <c r="D69" s="27">
        <f>VLOOKUP(C69,$J$9:$K$31,2,FALSE)/10000</f>
        <v>5.8935977012113828E-3</v>
      </c>
      <c r="E69" s="27">
        <f>$E$3+F69</f>
        <v>5.0967296704722824E-2</v>
      </c>
      <c r="F69" s="26">
        <f>IF($E$4="Yes",D69*$E$5,D69)</f>
        <v>8.8672967047228254E-3</v>
      </c>
      <c r="G69" s="25">
        <f>VLOOKUP(A69,'[1]10-year CDS Spreads'!$A$2:$D$158,4,FALSE)</f>
        <v>4.1999999999999997E-3</v>
      </c>
      <c r="H69" s="26">
        <f>IF(I69="NA","NA",$E$3+I69)</f>
        <v>4.8419170063504831E-2</v>
      </c>
      <c r="I69" s="31">
        <f>IF(G69="NA","NA",G69*$E$5)</f>
        <v>6.3191700635048323E-3</v>
      </c>
    </row>
    <row r="70" spans="1:9" ht="15.75" hidden="1">
      <c r="A70" s="30" t="str">
        <f>'[1]Sovereign Ratings (Moody''s,S&amp;P)'!A64</f>
        <v>Hungary</v>
      </c>
      <c r="B70" s="29" t="str">
        <f>VLOOKUP(A70,'[1]Regional lookup table'!$A$2:$B$162,2,FALSE)</f>
        <v>Eastern Europe &amp; Russia</v>
      </c>
      <c r="C70" s="28" t="str">
        <f>VLOOKUP(A70,'[1]Sovereign Ratings (Moody''s,S&amp;P)'!$A$2:$D$158,4,FALSE)</f>
        <v>Baa2</v>
      </c>
      <c r="D70" s="27">
        <f>VLOOKUP(C70,$J$9:$K$31,2,FALSE)/10000</f>
        <v>1.87208397567891E-2</v>
      </c>
      <c r="E70" s="27">
        <f>$E$3+F70</f>
        <v>7.0266707179707802E-2</v>
      </c>
      <c r="F70" s="26">
        <f>IF($E$4="Yes",D70*$E$5,D70)</f>
        <v>2.8166707179707803E-2</v>
      </c>
      <c r="G70" s="25">
        <f>VLOOKUP(A70,'[1]10-year CDS Spreads'!$A$2:$D$158,4,FALSE)</f>
        <v>1.66E-2</v>
      </c>
      <c r="H70" s="26">
        <f>IF(I70="NA","NA",$E$3+I70)</f>
        <v>6.7075767393852431E-2</v>
      </c>
      <c r="I70" s="31">
        <f>IF(G70="NA","NA",G70*$E$5)</f>
        <v>2.4975767393852436E-2</v>
      </c>
    </row>
    <row r="71" spans="1:9" ht="15.75" hidden="1">
      <c r="A71" s="30" t="str">
        <f>'[1]Sovereign Ratings (Moody''s,S&amp;P)'!A65</f>
        <v>Iceland</v>
      </c>
      <c r="B71" s="29" t="str">
        <f>VLOOKUP(A71,'[1]Regional lookup table'!$A$2:$B$162,2,FALSE)</f>
        <v>Western Europe</v>
      </c>
      <c r="C71" s="28" t="str">
        <f>VLOOKUP(A71,'[1]Sovereign Ratings (Moody''s,S&amp;P)'!$A$2:$D$158,4,FALSE)</f>
        <v>A1</v>
      </c>
      <c r="D71" s="27">
        <f>VLOOKUP(C71,$J$9:$K$31,2,FALSE)/10000</f>
        <v>6.9336443543663332E-3</v>
      </c>
      <c r="E71" s="27">
        <f>$E$3+F71</f>
        <v>5.2532113770262151E-2</v>
      </c>
      <c r="F71" s="26">
        <f>IF($E$4="Yes",D71*$E$5,D71)</f>
        <v>1.0432113770262149E-2</v>
      </c>
      <c r="G71" s="25">
        <f>VLOOKUP(A71,'[1]10-year CDS Spreads'!$A$2:$D$158,4,FALSE)</f>
        <v>3.0000000000000001E-3</v>
      </c>
      <c r="H71" s="26">
        <f>IF(I71="NA","NA",$E$3+I71)</f>
        <v>4.6613692902503452E-2</v>
      </c>
      <c r="I71" s="31">
        <f>IF(G71="NA","NA",G71*$E$5)</f>
        <v>4.5136929025034519E-3</v>
      </c>
    </row>
    <row r="72" spans="1:9" ht="15.75" hidden="1">
      <c r="A72" s="30" t="str">
        <f>'[1]Sovereign Ratings (Moody''s,S&amp;P)'!A66</f>
        <v>India</v>
      </c>
      <c r="B72" s="29" t="str">
        <f>VLOOKUP(A72,'[1]Regional lookup table'!$A$2:$B$162,2,FALSE)</f>
        <v>Asia</v>
      </c>
      <c r="C72" s="28" t="str">
        <f>VLOOKUP(A72,'[1]Sovereign Ratings (Moody''s,S&amp;P)'!$A$2:$D$158,4,FALSE)</f>
        <v>Baa3</v>
      </c>
      <c r="D72" s="27">
        <f>VLOOKUP(C72,$J$9:$K$31,2,FALSE)/10000</f>
        <v>2.160985823777507E-2</v>
      </c>
      <c r="E72" s="27">
        <f>$E$3+F72</f>
        <v>7.4613421250650361E-2</v>
      </c>
      <c r="F72" s="26">
        <f>IF($E$4="Yes",D72*$E$5,D72)</f>
        <v>3.2513421250650362E-2</v>
      </c>
      <c r="G72" s="25">
        <f>VLOOKUP(A72,'[1]10-year CDS Spreads'!$A$2:$D$158,4,FALSE)</f>
        <v>6.6999999999999994E-3</v>
      </c>
      <c r="H72" s="26">
        <f>IF(I72="NA","NA",$E$3+I72)</f>
        <v>5.2180580815591043E-2</v>
      </c>
      <c r="I72" s="31">
        <f>IF(G72="NA","NA",G72*$E$5)</f>
        <v>1.0080580815591041E-2</v>
      </c>
    </row>
    <row r="73" spans="1:9" ht="15.75" hidden="1">
      <c r="A73" s="30" t="str">
        <f>'[1]Sovereign Ratings (Moody''s,S&amp;P)'!A67</f>
        <v>Indonesia</v>
      </c>
      <c r="B73" s="29" t="str">
        <f>VLOOKUP(A73,'[1]Regional lookup table'!$A$2:$B$162,2,FALSE)</f>
        <v>Asia</v>
      </c>
      <c r="C73" s="28" t="str">
        <f>VLOOKUP(A73,'[1]Sovereign Ratings (Moody''s,S&amp;P)'!$A$2:$D$158,4,FALSE)</f>
        <v>Baa2</v>
      </c>
      <c r="D73" s="27">
        <f>VLOOKUP(C73,$J$9:$K$31,2,FALSE)/10000</f>
        <v>1.87208397567891E-2</v>
      </c>
      <c r="E73" s="27">
        <f>$E$3+F73</f>
        <v>7.0266707179707802E-2</v>
      </c>
      <c r="F73" s="26">
        <f>IF($E$4="Yes",D73*$E$5,D73)</f>
        <v>2.8166707179707803E-2</v>
      </c>
      <c r="G73" s="25">
        <f>VLOOKUP(A73,'[1]10-year CDS Spreads'!$A$2:$D$158,4,FALSE)</f>
        <v>1.17E-2</v>
      </c>
      <c r="H73" s="26">
        <f>IF(I73="NA","NA",$E$3+I73)</f>
        <v>5.9703402319763461E-2</v>
      </c>
      <c r="I73" s="31">
        <f>IF(G73="NA","NA",G73*$E$5)</f>
        <v>1.7603402319763463E-2</v>
      </c>
    </row>
    <row r="74" spans="1:9" ht="15.75" hidden="1">
      <c r="A74" s="30" t="str">
        <f>'[1]Sovereign Ratings (Moody''s,S&amp;P)'!A68</f>
        <v>Iraq</v>
      </c>
      <c r="B74" s="29" t="str">
        <f>VLOOKUP(A74,'[1]Regional lookup table'!$A$2:$B$162,2,FALSE)</f>
        <v>Middle East</v>
      </c>
      <c r="C74" s="28" t="str">
        <f>VLOOKUP(A74,'[1]Sovereign Ratings (Moody''s,S&amp;P)'!$A$2:$D$158,4,FALSE)</f>
        <v>Caa1</v>
      </c>
      <c r="D74" s="27">
        <f>VLOOKUP(C74,$J$9:$K$31,2,FALSE)/10000</f>
        <v>7.3727751634761987E-2</v>
      </c>
      <c r="E74" s="27">
        <f>$E$3+F74</f>
        <v>0.15302814309045415</v>
      </c>
      <c r="F74" s="26">
        <f>IF($E$4="Yes",D74*$E$5,D74)</f>
        <v>0.11092814309045415</v>
      </c>
      <c r="G74" s="25">
        <f>VLOOKUP(A74,'[1]10-year CDS Spreads'!$A$2:$D$158,4,FALSE)</f>
        <v>3.8800000000000001E-2</v>
      </c>
      <c r="H74" s="26">
        <f>IF(I74="NA","NA",$E$3+I74)</f>
        <v>0.10047709487237798</v>
      </c>
      <c r="I74" s="31">
        <f>IF(G74="NA","NA",G74*$E$5)</f>
        <v>5.837709487237798E-2</v>
      </c>
    </row>
    <row r="75" spans="1:9" ht="15.75" hidden="1">
      <c r="A75" s="30" t="str">
        <f>'[1]Sovereign Ratings (Moody''s,S&amp;P)'!A69</f>
        <v>Ireland</v>
      </c>
      <c r="B75" s="29" t="str">
        <f>VLOOKUP(A75,'[1]Regional lookup table'!$A$2:$B$162,2,FALSE)</f>
        <v>Western Europe</v>
      </c>
      <c r="C75" s="28" t="str">
        <f>VLOOKUP(A75,'[1]Sovereign Ratings (Moody''s,S&amp;P)'!$A$2:$D$158,4,FALSE)</f>
        <v>Aa3</v>
      </c>
      <c r="D75" s="27">
        <f>VLOOKUP(C75,$J$9:$K$31,2,FALSE)/10000</f>
        <v>5.8935977012113828E-3</v>
      </c>
      <c r="E75" s="27">
        <f>$E$3+F75</f>
        <v>5.0967296704722824E-2</v>
      </c>
      <c r="F75" s="26">
        <f>IF($E$4="Yes",D75*$E$5,D75)</f>
        <v>8.8672967047228254E-3</v>
      </c>
      <c r="G75" s="25">
        <f>VLOOKUP(A75,'[1]10-year CDS Spreads'!$A$2:$D$158,4,FALSE)</f>
        <v>2.1000000000000003E-3</v>
      </c>
      <c r="H75" s="26">
        <f>IF(I75="NA","NA",$E$3+I75)</f>
        <v>4.5259585031752418E-2</v>
      </c>
      <c r="I75" s="31">
        <f>IF(G75="NA","NA",G75*$E$5)</f>
        <v>3.159585031752417E-3</v>
      </c>
    </row>
    <row r="76" spans="1:9" ht="15.75" hidden="1">
      <c r="A76" s="30" t="str">
        <f>'[1]Sovereign Ratings (Moody''s,S&amp;P)'!A70</f>
        <v>Isle of Man</v>
      </c>
      <c r="B76" s="29" t="str">
        <f>VLOOKUP(A76,'[1]Regional lookup table'!$A$2:$B$162,2,FALSE)</f>
        <v>Western Europe</v>
      </c>
      <c r="C76" s="28" t="str">
        <f>VLOOKUP(A76,'[1]Sovereign Ratings (Moody''s,S&amp;P)'!$A$2:$D$158,4,FALSE)</f>
        <v>Aa3</v>
      </c>
      <c r="D76" s="27">
        <f>VLOOKUP(C76,$J$9:$K$31,2,FALSE)/10000</f>
        <v>5.8935977012113828E-3</v>
      </c>
      <c r="E76" s="27">
        <f>$E$3+F76</f>
        <v>5.0967296704722824E-2</v>
      </c>
      <c r="F76" s="26">
        <f>IF($E$4="Yes",D76*$E$5,D76)</f>
        <v>8.8672967047228254E-3</v>
      </c>
      <c r="G76" s="25" t="str">
        <f>VLOOKUP(A76,'[1]10-year CDS Spreads'!$A$2:$D$158,4,FALSE)</f>
        <v>NA</v>
      </c>
      <c r="H76" s="26" t="str">
        <f>IF(I76="NA","NA",$E$3+I76)</f>
        <v>NA</v>
      </c>
      <c r="I76" s="31" t="str">
        <f>IF(G76="NA","NA",G76*$E$5)</f>
        <v>NA</v>
      </c>
    </row>
    <row r="77" spans="1:9" ht="15.75" hidden="1">
      <c r="A77" s="30" t="str">
        <f>'[1]Sovereign Ratings (Moody''s,S&amp;P)'!A71</f>
        <v>Israel</v>
      </c>
      <c r="B77" s="29" t="str">
        <f>VLOOKUP(A77,'[1]Regional lookup table'!$A$2:$B$162,2,FALSE)</f>
        <v>Middle East</v>
      </c>
      <c r="C77" s="28" t="str">
        <f>VLOOKUP(A77,'[1]Sovereign Ratings (Moody''s,S&amp;P)'!$A$2:$D$158,4,FALSE)</f>
        <v>Baa1</v>
      </c>
      <c r="D77" s="27">
        <f>VLOOKUP(C77,$J$9:$K$31,2,FALSE)/10000</f>
        <v>1.5716260536563685E-2</v>
      </c>
      <c r="E77" s="27">
        <f>$E$3+F77</f>
        <v>6.5746124545927528E-2</v>
      </c>
      <c r="F77" s="26">
        <f>IF($E$4="Yes",D77*$E$5,D77)</f>
        <v>2.3646124545927533E-2</v>
      </c>
      <c r="G77" s="25">
        <f>VLOOKUP(A77,'[1]10-year CDS Spreads'!$A$2:$D$158,4,FALSE)</f>
        <v>1.2199999999999999E-2</v>
      </c>
      <c r="H77" s="26">
        <f>IF(I77="NA","NA",$E$3+I77)</f>
        <v>6.0455684470180703E-2</v>
      </c>
      <c r="I77" s="31">
        <f>IF(G77="NA","NA",G77*$E$5)</f>
        <v>1.8355684470180704E-2</v>
      </c>
    </row>
    <row r="78" spans="1:9" ht="15.75" hidden="1">
      <c r="A78" s="30" t="str">
        <f>'[1]Sovereign Ratings (Moody''s,S&amp;P)'!A72</f>
        <v>Italy</v>
      </c>
      <c r="B78" s="29" t="str">
        <f>VLOOKUP(A78,'[1]Regional lookup table'!$A$2:$B$162,2,FALSE)</f>
        <v>Western Europe</v>
      </c>
      <c r="C78" s="28" t="str">
        <f>VLOOKUP(A78,'[1]Sovereign Ratings (Moody''s,S&amp;P)'!$A$2:$D$158,4,FALSE)</f>
        <v>Baa3</v>
      </c>
      <c r="D78" s="27">
        <f>VLOOKUP(C78,$J$9:$K$31,2,FALSE)/10000</f>
        <v>2.160985823777507E-2</v>
      </c>
      <c r="E78" s="27">
        <f>$E$3+F78</f>
        <v>7.4613421250650361E-2</v>
      </c>
      <c r="F78" s="26">
        <f>IF($E$4="Yes",D78*$E$5,D78)</f>
        <v>3.2513421250650362E-2</v>
      </c>
      <c r="G78" s="25">
        <f>VLOOKUP(A78,'[1]10-year CDS Spreads'!$A$2:$D$158,4,FALSE)</f>
        <v>8.0999999999999996E-3</v>
      </c>
      <c r="H78" s="26">
        <f>IF(I78="NA","NA",$E$3+I78)</f>
        <v>5.4286970836759318E-2</v>
      </c>
      <c r="I78" s="31">
        <f>IF(G78="NA","NA",G78*$E$5)</f>
        <v>1.218697083675932E-2</v>
      </c>
    </row>
    <row r="79" spans="1:9" ht="15.75" hidden="1">
      <c r="A79" s="30" t="str">
        <f>'[1]Sovereign Ratings (Moody''s,S&amp;P)'!A73</f>
        <v>Jamaica</v>
      </c>
      <c r="B79" s="29" t="str">
        <f>VLOOKUP(A79,'[1]Regional lookup table'!$A$2:$B$162,2,FALSE)</f>
        <v>Caribbean</v>
      </c>
      <c r="C79" s="28" t="str">
        <f>VLOOKUP(A79,'[1]Sovereign Ratings (Moody''s,S&amp;P)'!$A$2:$D$158,4,FALSE)</f>
        <v>B1</v>
      </c>
      <c r="D79" s="27">
        <f>VLOOKUP(C79,$J$9:$K$31,2,FALSE)/10000</f>
        <v>4.4259763128705075E-2</v>
      </c>
      <c r="E79" s="27">
        <f>$E$3+F79</f>
        <v>0.10869165956684003</v>
      </c>
      <c r="F79" s="26">
        <f>IF($E$4="Yes",D79*$E$5,D79)</f>
        <v>6.6591659566840031E-2</v>
      </c>
      <c r="G79" s="25" t="str">
        <f>VLOOKUP(A79,'[1]10-year CDS Spreads'!$A$2:$D$158,4,FALSE)</f>
        <v>NA</v>
      </c>
      <c r="H79" s="26" t="str">
        <f>IF(I79="NA","NA",$E$3+I79)</f>
        <v>NA</v>
      </c>
      <c r="I79" s="31" t="str">
        <f>IF(G79="NA","NA",G79*$E$5)</f>
        <v>NA</v>
      </c>
    </row>
    <row r="80" spans="1:9" ht="15.75" hidden="1">
      <c r="A80" s="30" t="str">
        <f>'[1]Sovereign Ratings (Moody''s,S&amp;P)'!A74</f>
        <v>Japan</v>
      </c>
      <c r="B80" s="29" t="str">
        <f>VLOOKUP(A80,'[1]Regional lookup table'!$A$2:$B$162,2,FALSE)</f>
        <v>Asia</v>
      </c>
      <c r="C80" s="28" t="str">
        <f>VLOOKUP(A80,'[1]Sovereign Ratings (Moody''s,S&amp;P)'!$A$2:$D$158,4,FALSE)</f>
        <v>A1</v>
      </c>
      <c r="D80" s="27">
        <f>VLOOKUP(C80,$J$9:$K$31,2,FALSE)/10000</f>
        <v>6.9336443543663332E-3</v>
      </c>
      <c r="E80" s="27">
        <f>$E$3+F80</f>
        <v>5.2532113770262151E-2</v>
      </c>
      <c r="F80" s="26">
        <f>IF($E$4="Yes",D80*$E$5,D80)</f>
        <v>1.0432113770262149E-2</v>
      </c>
      <c r="G80" s="25">
        <f>VLOOKUP(A80,'[1]10-year CDS Spreads'!$A$2:$D$158,4,FALSE)</f>
        <v>1.9E-3</v>
      </c>
      <c r="H80" s="26">
        <f>IF(I80="NA","NA",$E$3+I80)</f>
        <v>4.4958672171585515E-2</v>
      </c>
      <c r="I80" s="31">
        <f>IF(G80="NA","NA",G80*$E$5)</f>
        <v>2.8586721715855197E-3</v>
      </c>
    </row>
    <row r="81" spans="1:9" ht="15.75" hidden="1">
      <c r="A81" s="30" t="str">
        <f>'[1]Sovereign Ratings (Moody''s,S&amp;P)'!A75</f>
        <v>Jersey (States of)</v>
      </c>
      <c r="B81" s="29" t="str">
        <f>VLOOKUP(A81,'[1]Regional lookup table'!$A$2:$B$162,2,FALSE)</f>
        <v>Western Europe</v>
      </c>
      <c r="C81" s="28" t="str">
        <f>VLOOKUP(A81,'[1]Sovereign Ratings (Moody''s,S&amp;P)'!$A$2:$D$158,4,FALSE)</f>
        <v>Aa3</v>
      </c>
      <c r="D81" s="27">
        <f>VLOOKUP(C81,$J$9:$K$31,2,FALSE)/10000</f>
        <v>5.8935977012113828E-3</v>
      </c>
      <c r="E81" s="27">
        <f>$E$3+F81</f>
        <v>5.0967296704722824E-2</v>
      </c>
      <c r="F81" s="26">
        <f>IF($E$4="Yes",D81*$E$5,D81)</f>
        <v>8.8672967047228254E-3</v>
      </c>
      <c r="G81" s="25" t="str">
        <f>VLOOKUP(A81,'[1]10-year CDS Spreads'!$A$2:$D$158,4,FALSE)</f>
        <v>NA</v>
      </c>
      <c r="H81" s="26" t="str">
        <f>IF(I81="NA","NA",$E$3+I81)</f>
        <v>NA</v>
      </c>
      <c r="I81" s="31" t="str">
        <f>IF(G81="NA","NA",G81*$E$5)</f>
        <v>NA</v>
      </c>
    </row>
    <row r="82" spans="1:9" ht="15.75" hidden="1">
      <c r="A82" s="30" t="str">
        <f>'[1]Sovereign Ratings (Moody''s,S&amp;P)'!A76</f>
        <v>Jordan</v>
      </c>
      <c r="B82" s="29" t="str">
        <f>VLOOKUP(A82,'[1]Regional lookup table'!$A$2:$B$162,2,FALSE)</f>
        <v>Middle East</v>
      </c>
      <c r="C82" s="28" t="str">
        <f>VLOOKUP(A82,'[1]Sovereign Ratings (Moody''s,S&amp;P)'!$A$2:$D$158,4,FALSE)</f>
        <v>Ba3</v>
      </c>
      <c r="D82" s="27">
        <f>VLOOKUP(C82,$J$9:$K$31,2,FALSE)/10000</f>
        <v>3.5361586207268286E-2</v>
      </c>
      <c r="E82" s="27">
        <f>$E$3+F82</f>
        <v>9.5303780228336937E-2</v>
      </c>
      <c r="F82" s="26">
        <f>IF($E$4="Yes",D82*$E$5,D82)</f>
        <v>5.3203780228336939E-2</v>
      </c>
      <c r="G82" s="25" t="str">
        <f>VLOOKUP(A82,'[1]10-year CDS Spreads'!$A$2:$D$158,4,FALSE)</f>
        <v>NA</v>
      </c>
      <c r="H82" s="26" t="str">
        <f>IF(I82="NA","NA",$E$3+I82)</f>
        <v>NA</v>
      </c>
      <c r="I82" s="31" t="str">
        <f>IF(G82="NA","NA",G82*$E$5)</f>
        <v>NA</v>
      </c>
    </row>
    <row r="83" spans="1:9" ht="15.75" hidden="1">
      <c r="A83" s="30" t="str">
        <f>'[1]Sovereign Ratings (Moody''s,S&amp;P)'!A77</f>
        <v>Kazakhstan</v>
      </c>
      <c r="B83" s="29" t="str">
        <f>VLOOKUP(A83,'[1]Regional lookup table'!$A$2:$B$162,2,FALSE)</f>
        <v>Eastern Europe &amp; Russia</v>
      </c>
      <c r="C83" s="28" t="str">
        <f>VLOOKUP(A83,'[1]Sovereign Ratings (Moody''s,S&amp;P)'!$A$2:$D$158,4,FALSE)</f>
        <v>Baa1</v>
      </c>
      <c r="D83" s="27">
        <f>VLOOKUP(C83,$J$9:$K$31,2,FALSE)/10000</f>
        <v>1.5716260536563685E-2</v>
      </c>
      <c r="E83" s="27">
        <f>$E$3+F83</f>
        <v>6.5746124545927528E-2</v>
      </c>
      <c r="F83" s="26">
        <f>IF($E$4="Yes",D83*$E$5,D83)</f>
        <v>2.3646124545927533E-2</v>
      </c>
      <c r="G83" s="25">
        <f>VLOOKUP(A83,'[1]10-year CDS Spreads'!$A$2:$D$158,4,FALSE)</f>
        <v>1.29E-2</v>
      </c>
      <c r="H83" s="26">
        <f>IF(I83="NA","NA",$E$3+I83)</f>
        <v>6.1508879480764847E-2</v>
      </c>
      <c r="I83" s="31">
        <f>IF(G83="NA","NA",G83*$E$5)</f>
        <v>1.9408879480764845E-2</v>
      </c>
    </row>
    <row r="84" spans="1:9" ht="15.75" hidden="1">
      <c r="A84" s="30" t="str">
        <f>'[1]Sovereign Ratings (Moody''s,S&amp;P)'!A78</f>
        <v>Kenya</v>
      </c>
      <c r="B84" s="29" t="str">
        <f>VLOOKUP(A84,'[1]Regional lookup table'!$A$2:$B$162,2,FALSE)</f>
        <v>Africa</v>
      </c>
      <c r="C84" s="28" t="str">
        <f>VLOOKUP(A84,'[1]Sovereign Ratings (Moody''s,S&amp;P)'!$A$2:$D$158,4,FALSE)</f>
        <v>Caa1</v>
      </c>
      <c r="D84" s="27">
        <f>VLOOKUP(C84,$J$9:$K$31,2,FALSE)/10000</f>
        <v>7.3727751634761987E-2</v>
      </c>
      <c r="E84" s="27">
        <f>$E$3+F84</f>
        <v>0.15302814309045415</v>
      </c>
      <c r="F84" s="26">
        <f>IF($E$4="Yes",D84*$E$5,D84)</f>
        <v>0.11092814309045415</v>
      </c>
      <c r="G84" s="25">
        <f>VLOOKUP(A84,'[1]10-year CDS Spreads'!$A$2:$D$158,4,FALSE)</f>
        <v>6.1699999999999998E-2</v>
      </c>
      <c r="H84" s="26">
        <f>IF(I84="NA","NA",$E$3+I84)</f>
        <v>0.13493161736148768</v>
      </c>
      <c r="I84" s="31">
        <f>IF(G84="NA","NA",G84*$E$5)</f>
        <v>9.2831617361487664E-2</v>
      </c>
    </row>
    <row r="85" spans="1:9" ht="15.75" hidden="1">
      <c r="A85" s="30" t="str">
        <f>'[1]Sovereign Ratings (Moody''s,S&amp;P)'!A79</f>
        <v>Korea</v>
      </c>
      <c r="B85" s="29" t="str">
        <f>VLOOKUP(A85,'[1]Regional lookup table'!$A$2:$B$162,2,FALSE)</f>
        <v>Asia</v>
      </c>
      <c r="C85" s="28" t="str">
        <f>VLOOKUP(A85,'[1]Sovereign Ratings (Moody''s,S&amp;P)'!$A$2:$D$158,4,FALSE)</f>
        <v>Aa2</v>
      </c>
      <c r="D85" s="27">
        <f>VLOOKUP(C85,$J$9:$K$31,2,FALSE)/10000</f>
        <v>4.8535510480564323E-3</v>
      </c>
      <c r="E85" s="27">
        <f>$E$3+F85</f>
        <v>4.9402479639183504E-2</v>
      </c>
      <c r="F85" s="26">
        <f>IF($E$4="Yes",D85*$E$5,D85)</f>
        <v>7.3024796391835027E-3</v>
      </c>
      <c r="G85" s="25">
        <f>VLOOKUP(A85,'[1]10-year CDS Spreads'!$A$2:$D$158,4,FALSE)</f>
        <v>2E-3</v>
      </c>
      <c r="H85" s="26">
        <f>IF(I85="NA","NA",$E$3+I85)</f>
        <v>4.5109128601668963E-2</v>
      </c>
      <c r="I85" s="31">
        <f>IF(G85="NA","NA",G85*$E$5)</f>
        <v>3.0091286016689679E-3</v>
      </c>
    </row>
    <row r="86" spans="1:9" ht="15.75" hidden="1">
      <c r="A86" s="30" t="str">
        <f>'[1]Sovereign Ratings (Moody''s,S&amp;P)'!A80</f>
        <v>Kuwait</v>
      </c>
      <c r="B86" s="29" t="str">
        <f>VLOOKUP(A86,'[1]Regional lookup table'!$A$2:$B$162,2,FALSE)</f>
        <v>Middle East</v>
      </c>
      <c r="C86" s="28" t="str">
        <f>VLOOKUP(A86,'[1]Sovereign Ratings (Moody''s,S&amp;P)'!$A$2:$D$158,4,FALSE)</f>
        <v>A1</v>
      </c>
      <c r="D86" s="27">
        <f>VLOOKUP(C86,$J$9:$K$31,2,FALSE)/10000</f>
        <v>6.9336443543663332E-3</v>
      </c>
      <c r="E86" s="27">
        <f>$E$3+F86</f>
        <v>5.2532113770262151E-2</v>
      </c>
      <c r="F86" s="26">
        <f>IF($E$4="Yes",D86*$E$5,D86)</f>
        <v>1.0432113770262149E-2</v>
      </c>
      <c r="G86" s="25">
        <f>VLOOKUP(A86,'[1]10-year CDS Spreads'!$A$2:$D$158,4,FALSE)</f>
        <v>6.9999999999999993E-3</v>
      </c>
      <c r="H86" s="26">
        <f>IF(I86="NA","NA",$E$3+I86)</f>
        <v>5.2631950105841388E-2</v>
      </c>
      <c r="I86" s="31">
        <f>IF(G86="NA","NA",G86*$E$5)</f>
        <v>1.0531950105841388E-2</v>
      </c>
    </row>
    <row r="87" spans="1:9" ht="15.75" hidden="1">
      <c r="A87" s="30" t="str">
        <f>'[1]Sovereign Ratings (Moody''s,S&amp;P)'!A81</f>
        <v>Kyrgyzstan</v>
      </c>
      <c r="B87" s="29" t="str">
        <f>VLOOKUP(A87,'[1]Regional lookup table'!$A$2:$B$162,2,FALSE)</f>
        <v>Eastern Europe &amp; Russia</v>
      </c>
      <c r="C87" s="28" t="str">
        <f>VLOOKUP(A87,'[1]Sovereign Ratings (Moody''s,S&amp;P)'!$A$2:$D$158,4,FALSE)</f>
        <v>B3</v>
      </c>
      <c r="D87" s="27">
        <f>VLOOKUP(C87,$J$9:$K$31,2,FALSE)/10000</f>
        <v>6.3905088799409676E-2</v>
      </c>
      <c r="E87" s="27">
        <f>$E$3+F87</f>
        <v>0.13824931524924944</v>
      </c>
      <c r="F87" s="26">
        <f>IF($E$4="Yes",D87*$E$5,D87)</f>
        <v>9.614931524924944E-2</v>
      </c>
      <c r="G87" s="25" t="str">
        <f>VLOOKUP(A87,'[1]10-year CDS Spreads'!$A$2:$D$158,4,FALSE)</f>
        <v>NA</v>
      </c>
      <c r="H87" s="26" t="str">
        <f>IF(I87="NA","NA",$E$3+I87)</f>
        <v>NA</v>
      </c>
      <c r="I87" s="31" t="str">
        <f>IF(G87="NA","NA",G87*$E$5)</f>
        <v>NA</v>
      </c>
    </row>
    <row r="88" spans="1:9" ht="15.75" hidden="1">
      <c r="A88" s="30" t="str">
        <f>'[1]Sovereign Ratings (Moody''s,S&amp;P)'!A82</f>
        <v>Laos</v>
      </c>
      <c r="B88" s="29" t="str">
        <f>VLOOKUP(A88,'[1]Regional lookup table'!$A$2:$B$162,2,FALSE)</f>
        <v>Asia</v>
      </c>
      <c r="C88" s="28" t="str">
        <f>VLOOKUP(A88,'[1]Sovereign Ratings (Moody''s,S&amp;P)'!$A$2:$D$158,4,FALSE)</f>
        <v>Caa3</v>
      </c>
      <c r="D88" s="27">
        <f>VLOOKUP(C88,$J$9:$K$31,2,FALSE)/10000</f>
        <v>9.8342189092762475E-2</v>
      </c>
      <c r="E88" s="27">
        <f>$E$3+F88</f>
        <v>0.1900621469748848</v>
      </c>
      <c r="F88" s="26">
        <f>IF($E$4="Yes",D88*$E$5,D88)</f>
        <v>0.1479621469748848</v>
      </c>
      <c r="G88" s="25" t="str">
        <f>VLOOKUP(A88,'[1]10-year CDS Spreads'!$A$2:$D$158,4,FALSE)</f>
        <v>NA</v>
      </c>
      <c r="H88" s="26" t="str">
        <f>IF(I88="NA","NA",$E$3+I88)</f>
        <v>NA</v>
      </c>
      <c r="I88" s="31" t="str">
        <f>IF(G88="NA","NA",G88*$E$5)</f>
        <v>NA</v>
      </c>
    </row>
    <row r="89" spans="1:9" ht="15.75" hidden="1">
      <c r="A89" s="30" t="str">
        <f>'[1]Sovereign Ratings (Moody''s,S&amp;P)'!A83</f>
        <v>Latvia</v>
      </c>
      <c r="B89" s="29" t="str">
        <f>VLOOKUP(A89,'[1]Regional lookup table'!$A$2:$B$162,2,FALSE)</f>
        <v>Eastern Europe &amp; Russia</v>
      </c>
      <c r="C89" s="28" t="str">
        <f>VLOOKUP(A89,'[1]Sovereign Ratings (Moody''s,S&amp;P)'!$A$2:$D$158,4,FALSE)</f>
        <v>A3</v>
      </c>
      <c r="D89" s="27">
        <f>VLOOKUP(C89,$J$9:$K$31,2,FALSE)/10000</f>
        <v>1.1787195402422766E-2</v>
      </c>
      <c r="E89" s="27">
        <f>$E$3+F89</f>
        <v>5.9834593409445649E-2</v>
      </c>
      <c r="F89" s="26">
        <f>IF($E$4="Yes",D89*$E$5,D89)</f>
        <v>1.7734593409445651E-2</v>
      </c>
      <c r="G89" s="25">
        <f>VLOOKUP(A89,'[1]10-year CDS Spreads'!$A$2:$D$158,4,FALSE)</f>
        <v>8.0999999999999996E-3</v>
      </c>
      <c r="H89" s="26">
        <f>IF(I89="NA","NA",$E$3+I89)</f>
        <v>5.4286970836759318E-2</v>
      </c>
      <c r="I89" s="31">
        <f>IF(G89="NA","NA",G89*$E$5)</f>
        <v>1.218697083675932E-2</v>
      </c>
    </row>
    <row r="90" spans="1:9" ht="15.75" hidden="1">
      <c r="A90" s="30" t="str">
        <f>'[1]Sovereign Ratings (Moody''s,S&amp;P)'!A84</f>
        <v>Lebanon</v>
      </c>
      <c r="B90" s="29" t="str">
        <f>VLOOKUP(A90,'[1]Regional lookup table'!$A$2:$B$162,2,FALSE)</f>
        <v>Middle East</v>
      </c>
      <c r="C90" s="28" t="str">
        <f>VLOOKUP(A90,'[1]Sovereign Ratings (Moody''s,S&amp;P)'!$A$2:$D$158,4,FALSE)</f>
        <v>C</v>
      </c>
      <c r="D90" s="27">
        <f>VLOOKUP(C90,$J$9:$K$31,2,FALSE)/10000</f>
        <v>0.17499999999999999</v>
      </c>
      <c r="E90" s="27">
        <f>$E$3+F90</f>
        <v>0.30539875264603467</v>
      </c>
      <c r="F90" s="26">
        <f>IF($E$4="Yes",D90*$E$5,D90)</f>
        <v>0.26329875264603469</v>
      </c>
      <c r="G90" s="25" t="str">
        <f>VLOOKUP(A90,'[1]10-year CDS Spreads'!$A$2:$D$158,4,FALSE)</f>
        <v>NA</v>
      </c>
      <c r="H90" s="26" t="str">
        <f>IF(I90="NA","NA",$E$3+I90)</f>
        <v>NA</v>
      </c>
      <c r="I90" s="31" t="str">
        <f>IF(G90="NA","NA",G90*$E$5)</f>
        <v>NA</v>
      </c>
    </row>
    <row r="91" spans="1:9" ht="15.75" hidden="1">
      <c r="A91" s="30" t="str">
        <f>'[1]Sovereign Ratings (Moody''s,S&amp;P)'!A85</f>
        <v>Liechtenstein</v>
      </c>
      <c r="B91" s="29" t="str">
        <f>VLOOKUP(A91,'[1]Regional lookup table'!$A$2:$B$162,2,FALSE)</f>
        <v>Western Europe</v>
      </c>
      <c r="C91" s="28" t="str">
        <f>VLOOKUP(A91,'[1]Sovereign Ratings (Moody''s,S&amp;P)'!$A$2:$D$158,4,FALSE)</f>
        <v>Aaa</v>
      </c>
      <c r="D91" s="27">
        <f>VLOOKUP(C91,$J$9:$K$31,2,FALSE)/10000</f>
        <v>0</v>
      </c>
      <c r="E91" s="27">
        <f>$E$3+F91</f>
        <v>4.2099999999999999E-2</v>
      </c>
      <c r="F91" s="26">
        <f>IF($E$4="Yes",D91*$E$5,D91)</f>
        <v>0</v>
      </c>
      <c r="G91" s="25" t="str">
        <f>VLOOKUP(A91,'[1]10-year CDS Spreads'!$A$2:$D$158,4,FALSE)</f>
        <v>NA</v>
      </c>
      <c r="H91" s="26" t="str">
        <f>IF(I91="NA","NA",$E$3+I91)</f>
        <v>NA</v>
      </c>
      <c r="I91" s="31" t="str">
        <f>IF(G91="NA","NA",G91*$E$5)</f>
        <v>NA</v>
      </c>
    </row>
    <row r="92" spans="1:9" ht="15.75" hidden="1">
      <c r="A92" s="30" t="str">
        <f>'[1]Sovereign Ratings (Moody''s,S&amp;P)'!A86</f>
        <v>Lithuania</v>
      </c>
      <c r="B92" s="29" t="str">
        <f>VLOOKUP(A92,'[1]Regional lookup table'!$A$2:$B$162,2,FALSE)</f>
        <v>Eastern Europe &amp; Russia</v>
      </c>
      <c r="C92" s="28" t="str">
        <f>VLOOKUP(A92,'[1]Sovereign Ratings (Moody''s,S&amp;P)'!$A$2:$D$158,4,FALSE)</f>
        <v>A2</v>
      </c>
      <c r="D92" s="27">
        <f>VLOOKUP(C92,$J$9:$K$31,2,FALSE)/10000</f>
        <v>8.3203732252395985E-3</v>
      </c>
      <c r="E92" s="27">
        <f>$E$3+F92</f>
        <v>5.4618536524314573E-2</v>
      </c>
      <c r="F92" s="26">
        <f>IF($E$4="Yes",D92*$E$5,D92)</f>
        <v>1.2518536524314576E-2</v>
      </c>
      <c r="G92" s="25">
        <f>VLOOKUP(A92,'[1]10-year CDS Spreads'!$A$2:$D$158,4,FALSE)</f>
        <v>7.2999999999999992E-3</v>
      </c>
      <c r="H92" s="26">
        <f>IF(I92="NA","NA",$E$3+I92)</f>
        <v>5.3083319396091733E-2</v>
      </c>
      <c r="I92" s="31">
        <f>IF(G92="NA","NA",G92*$E$5)</f>
        <v>1.0983319396091732E-2</v>
      </c>
    </row>
    <row r="93" spans="1:9" ht="15.75" hidden="1">
      <c r="A93" s="30" t="str">
        <f>'[1]Sovereign Ratings (Moody''s,S&amp;P)'!A87</f>
        <v>Luxembourg</v>
      </c>
      <c r="B93" s="29" t="str">
        <f>VLOOKUP(A93,'[1]Regional lookup table'!$A$2:$B$162,2,FALSE)</f>
        <v>Western Europe</v>
      </c>
      <c r="C93" s="28" t="str">
        <f>VLOOKUP(A93,'[1]Sovereign Ratings (Moody''s,S&amp;P)'!$A$2:$D$158,4,FALSE)</f>
        <v>Aaa</v>
      </c>
      <c r="D93" s="27">
        <f>VLOOKUP(C93,$J$9:$K$31,2,FALSE)/10000</f>
        <v>0</v>
      </c>
      <c r="E93" s="27">
        <f>$E$3+F93</f>
        <v>4.2099999999999999E-2</v>
      </c>
      <c r="F93" s="26">
        <f>IF($E$4="Yes",D93*$E$5,D93)</f>
        <v>0</v>
      </c>
      <c r="G93" s="25" t="str">
        <f>VLOOKUP(A93,'[1]10-year CDS Spreads'!$A$2:$D$158,4,FALSE)</f>
        <v>NA</v>
      </c>
      <c r="H93" s="26" t="str">
        <f>IF(I93="NA","NA",$E$3+I93)</f>
        <v>NA</v>
      </c>
      <c r="I93" s="31" t="str">
        <f>IF(G93="NA","NA",G93*$E$5)</f>
        <v>NA</v>
      </c>
    </row>
    <row r="94" spans="1:9" ht="15.75" hidden="1">
      <c r="A94" s="30" t="str">
        <f>'[1]Sovereign Ratings (Moody''s,S&amp;P)'!A88</f>
        <v>Macao</v>
      </c>
      <c r="B94" s="29" t="str">
        <f>VLOOKUP(A94,'[1]Regional lookup table'!$A$2:$B$162,2,FALSE)</f>
        <v>Asia</v>
      </c>
      <c r="C94" s="28" t="str">
        <f>VLOOKUP(A94,'[1]Sovereign Ratings (Moody''s,S&amp;P)'!$A$2:$D$158,4,FALSE)</f>
        <v>Aa3</v>
      </c>
      <c r="D94" s="27">
        <f>VLOOKUP(C94,$J$9:$K$31,2,FALSE)/10000</f>
        <v>5.8935977012113828E-3</v>
      </c>
      <c r="E94" s="27">
        <f>$E$3+F94</f>
        <v>5.0967296704722824E-2</v>
      </c>
      <c r="F94" s="26">
        <f>IF($E$4="Yes",D94*$E$5,D94)</f>
        <v>8.8672967047228254E-3</v>
      </c>
      <c r="G94" s="25" t="str">
        <f>VLOOKUP(A94,'[1]10-year CDS Spreads'!$A$2:$D$158,4,FALSE)</f>
        <v>NA</v>
      </c>
      <c r="H94" s="26" t="str">
        <f>IF(I94="NA","NA",$E$3+I94)</f>
        <v>NA</v>
      </c>
      <c r="I94" s="31" t="str">
        <f>IF(G94="NA","NA",G94*$E$5)</f>
        <v>NA</v>
      </c>
    </row>
    <row r="95" spans="1:9" ht="15.75" hidden="1">
      <c r="A95" s="30" t="str">
        <f>'[1]Sovereign Ratings (Moody''s,S&amp;P)'!A89</f>
        <v>Macedonia</v>
      </c>
      <c r="B95" s="29" t="str">
        <f>VLOOKUP(A95,'[1]Regional lookup table'!$A$2:$B$162,2,FALSE)</f>
        <v>Eastern Europe &amp; Russia</v>
      </c>
      <c r="C95" s="28" t="str">
        <f>VLOOKUP(A95,'[1]Sovereign Ratings (Moody''s,S&amp;P)'!$A$2:$D$158,4,FALSE)</f>
        <v>Ba3</v>
      </c>
      <c r="D95" s="27">
        <f>VLOOKUP(C95,$J$9:$K$31,2,FALSE)/10000</f>
        <v>3.5361586207268286E-2</v>
      </c>
      <c r="E95" s="27">
        <f>$E$3+F95</f>
        <v>9.5303780228336937E-2</v>
      </c>
      <c r="F95" s="26">
        <f>IF($E$4="Yes",D95*$E$5,D95)</f>
        <v>5.3203780228336939E-2</v>
      </c>
      <c r="G95" s="25" t="str">
        <f>VLOOKUP(A95,'[1]10-year CDS Spreads'!$A$2:$D$158,4,FALSE)</f>
        <v>NA</v>
      </c>
      <c r="H95" s="26" t="str">
        <f>IF(I95="NA","NA",$E$3+I95)</f>
        <v>NA</v>
      </c>
      <c r="I95" s="31" t="str">
        <f>IF(G95="NA","NA",G95*$E$5)</f>
        <v>NA</v>
      </c>
    </row>
    <row r="96" spans="1:9" ht="15.75" hidden="1">
      <c r="A96" s="30" t="str">
        <f>'[1]Sovereign Ratings (Moody''s,S&amp;P)'!A90</f>
        <v>Malaysia</v>
      </c>
      <c r="B96" s="29" t="str">
        <f>VLOOKUP(A96,'[1]Regional lookup table'!$A$2:$B$162,2,FALSE)</f>
        <v>Asia</v>
      </c>
      <c r="C96" s="28" t="str">
        <f>VLOOKUP(A96,'[1]Sovereign Ratings (Moody''s,S&amp;P)'!$A$2:$D$158,4,FALSE)</f>
        <v>A3</v>
      </c>
      <c r="D96" s="27">
        <f>VLOOKUP(C96,$J$9:$K$31,2,FALSE)/10000</f>
        <v>1.1787195402422766E-2</v>
      </c>
      <c r="E96" s="27">
        <f>$E$3+F96</f>
        <v>5.9834593409445649E-2</v>
      </c>
      <c r="F96" s="26">
        <f>IF($E$4="Yes",D96*$E$5,D96)</f>
        <v>1.7734593409445651E-2</v>
      </c>
      <c r="G96" s="25">
        <f>VLOOKUP(A96,'[1]10-year CDS Spreads'!$A$2:$D$158,4,FALSE)</f>
        <v>6.3999999999999994E-3</v>
      </c>
      <c r="H96" s="26">
        <f>IF(I96="NA","NA",$E$3+I96)</f>
        <v>5.1729211525340699E-2</v>
      </c>
      <c r="I96" s="31">
        <f>IF(G96="NA","NA",G96*$E$5)</f>
        <v>9.6292115253406967E-3</v>
      </c>
    </row>
    <row r="97" spans="1:9" ht="15.75" hidden="1">
      <c r="A97" s="30" t="str">
        <f>'[1]Sovereign Ratings (Moody''s,S&amp;P)'!A91</f>
        <v>Maldives</v>
      </c>
      <c r="B97" s="29" t="str">
        <f>VLOOKUP(A97,'[1]Regional lookup table'!$A$2:$B$162,2,FALSE)</f>
        <v>Asia</v>
      </c>
      <c r="C97" s="28" t="str">
        <f>VLOOKUP(A97,'[1]Sovereign Ratings (Moody''s,S&amp;P)'!$A$2:$D$158,4,FALSE)</f>
        <v>Caa2</v>
      </c>
      <c r="D97" s="27">
        <f>VLOOKUP(C97,$J$9:$K$31,2,FALSE)/10000</f>
        <v>8.851952625741015E-2</v>
      </c>
      <c r="E97" s="27">
        <f>$E$3+F97</f>
        <v>0.17528331913368006</v>
      </c>
      <c r="F97" s="26">
        <f>IF($E$4="Yes",D97*$E$5,D97)</f>
        <v>0.13318331913368006</v>
      </c>
      <c r="G97" s="25" t="str">
        <f>VLOOKUP(A97,'[1]10-year CDS Spreads'!$A$2:$D$158,4,FALSE)</f>
        <v>NA</v>
      </c>
      <c r="H97" s="26" t="str">
        <f>IF(I97="NA","NA",$E$3+I97)</f>
        <v>NA</v>
      </c>
      <c r="I97" s="31" t="str">
        <f>IF(G97="NA","NA",G97*$E$5)</f>
        <v>NA</v>
      </c>
    </row>
    <row r="98" spans="1:9" ht="15.75" hidden="1">
      <c r="A98" s="30" t="str">
        <f>'[1]Sovereign Ratings (Moody''s,S&amp;P)'!A92</f>
        <v>Mali</v>
      </c>
      <c r="B98" s="29" t="str">
        <f>VLOOKUP(A98,'[1]Regional lookup table'!$A$2:$B$162,2,FALSE)</f>
        <v>Africa</v>
      </c>
      <c r="C98" s="28" t="str">
        <f>VLOOKUP(A98,'[1]Sovereign Ratings (Moody''s,S&amp;P)'!$A$2:$D$158,4,FALSE)</f>
        <v>Caa2</v>
      </c>
      <c r="D98" s="27">
        <f>VLOOKUP(C98,$J$9:$K$31,2,FALSE)/10000</f>
        <v>8.851952625741015E-2</v>
      </c>
      <c r="E98" s="27">
        <f>$E$3+F98</f>
        <v>0.17528331913368006</v>
      </c>
      <c r="F98" s="26">
        <f>IF($E$4="Yes",D98*$E$5,D98)</f>
        <v>0.13318331913368006</v>
      </c>
      <c r="G98" s="25" t="str">
        <f>VLOOKUP(A98,'[1]10-year CDS Spreads'!$A$2:$D$158,4,FALSE)</f>
        <v>NA</v>
      </c>
      <c r="H98" s="26" t="str">
        <f>IF(I98="NA","NA",$E$3+I98)</f>
        <v>NA</v>
      </c>
      <c r="I98" s="31" t="str">
        <f>IF(G98="NA","NA",G98*$E$5)</f>
        <v>NA</v>
      </c>
    </row>
    <row r="99" spans="1:9" ht="15.75" hidden="1">
      <c r="A99" s="30" t="str">
        <f>'[1]Sovereign Ratings (Moody''s,S&amp;P)'!A93</f>
        <v>Malta</v>
      </c>
      <c r="B99" s="29" t="str">
        <f>VLOOKUP(A99,'[1]Regional lookup table'!$A$2:$B$162,2,FALSE)</f>
        <v>Western Europe</v>
      </c>
      <c r="C99" s="28" t="str">
        <f>VLOOKUP(A99,'[1]Sovereign Ratings (Moody''s,S&amp;P)'!$A$2:$D$158,4,FALSE)</f>
        <v>A2</v>
      </c>
      <c r="D99" s="27">
        <f>VLOOKUP(C99,$J$9:$K$31,2,FALSE)/10000</f>
        <v>8.3203732252395985E-3</v>
      </c>
      <c r="E99" s="27">
        <f>$E$3+F99</f>
        <v>5.4618536524314573E-2</v>
      </c>
      <c r="F99" s="26">
        <f>IF($E$4="Yes",D99*$E$5,D99)</f>
        <v>1.2518536524314576E-2</v>
      </c>
      <c r="G99" s="25" t="str">
        <f>VLOOKUP(A99,'[1]10-year CDS Spreads'!$A$2:$D$158,4,FALSE)</f>
        <v>NA</v>
      </c>
      <c r="H99" s="26" t="str">
        <f>IF(I99="NA","NA",$E$3+I99)</f>
        <v>NA</v>
      </c>
      <c r="I99" s="31" t="str">
        <f>IF(G99="NA","NA",G99*$E$5)</f>
        <v>NA</v>
      </c>
    </row>
    <row r="100" spans="1:9" ht="15.75" hidden="1">
      <c r="A100" s="30" t="str">
        <f>'[1]Sovereign Ratings (Moody''s,S&amp;P)'!A94</f>
        <v>Mauritius</v>
      </c>
      <c r="B100" s="29" t="str">
        <f>VLOOKUP(A100,'[1]Regional lookup table'!$A$2:$B$162,2,FALSE)</f>
        <v>Africa</v>
      </c>
      <c r="C100" s="28" t="str">
        <f>VLOOKUP(A100,'[1]Sovereign Ratings (Moody''s,S&amp;P)'!$A$2:$D$158,4,FALSE)</f>
        <v>Baa3</v>
      </c>
      <c r="D100" s="27">
        <f>VLOOKUP(C100,$J$9:$K$31,2,FALSE)/10000</f>
        <v>2.160985823777507E-2</v>
      </c>
      <c r="E100" s="27">
        <f>$E$3+F100</f>
        <v>7.4613421250650361E-2</v>
      </c>
      <c r="F100" s="26">
        <f>IF($E$4="Yes",D100*$E$5,D100)</f>
        <v>3.2513421250650362E-2</v>
      </c>
      <c r="G100" s="25" t="str">
        <f>VLOOKUP(A100,'[1]10-year CDS Spreads'!$A$2:$D$158,4,FALSE)</f>
        <v>NA</v>
      </c>
      <c r="H100" s="26" t="str">
        <f>IF(I100="NA","NA",$E$3+I100)</f>
        <v>NA</v>
      </c>
      <c r="I100" s="31" t="str">
        <f>IF(G100="NA","NA",G100*$E$5)</f>
        <v>NA</v>
      </c>
    </row>
    <row r="101" spans="1:9" ht="15.75" hidden="1">
      <c r="A101" s="30" t="str">
        <f>'[1]Sovereign Ratings (Moody''s,S&amp;P)'!A95</f>
        <v>Mexico</v>
      </c>
      <c r="B101" s="29" t="str">
        <f>VLOOKUP(A101,'[1]Regional lookup table'!$A$2:$B$162,2,FALSE)</f>
        <v>Central and South America</v>
      </c>
      <c r="C101" s="28" t="str">
        <f>VLOOKUP(A101,'[1]Sovereign Ratings (Moody''s,S&amp;P)'!$A$2:$D$158,4,FALSE)</f>
        <v>Baa2</v>
      </c>
      <c r="D101" s="27">
        <f>VLOOKUP(C101,$J$9:$K$31,2,FALSE)/10000</f>
        <v>1.87208397567891E-2</v>
      </c>
      <c r="E101" s="27">
        <f>$E$3+F101</f>
        <v>7.0266707179707802E-2</v>
      </c>
      <c r="F101" s="26">
        <f>IF($E$4="Yes",D101*$E$5,D101)</f>
        <v>2.8166707179707803E-2</v>
      </c>
      <c r="G101" s="25">
        <f>VLOOKUP(A101,'[1]10-year CDS Spreads'!$A$2:$D$158,4,FALSE)</f>
        <v>1.6899999999999998E-2</v>
      </c>
      <c r="H101" s="26">
        <f>IF(I101="NA","NA",$E$3+I101)</f>
        <v>6.7527136684102776E-2</v>
      </c>
      <c r="I101" s="31">
        <f>IF(G101="NA","NA",G101*$E$5)</f>
        <v>2.5427136684102777E-2</v>
      </c>
    </row>
    <row r="102" spans="1:9" ht="15.75" hidden="1">
      <c r="A102" s="30" t="str">
        <f>'[1]Sovereign Ratings (Moody''s,S&amp;P)'!A96</f>
        <v>Moldova</v>
      </c>
      <c r="B102" s="29" t="str">
        <f>VLOOKUP(A102,'[1]Regional lookup table'!$A$2:$B$162,2,FALSE)</f>
        <v>Eastern Europe &amp; Russia</v>
      </c>
      <c r="C102" s="28" t="str">
        <f>VLOOKUP(A102,'[1]Sovereign Ratings (Moody''s,S&amp;P)'!$A$2:$D$158,4,FALSE)</f>
        <v>B3</v>
      </c>
      <c r="D102" s="27">
        <f>VLOOKUP(C102,$J$9:$K$31,2,FALSE)/10000</f>
        <v>6.3905088799409676E-2</v>
      </c>
      <c r="E102" s="27">
        <f>$E$3+F102</f>
        <v>0.13824931524924944</v>
      </c>
      <c r="F102" s="26">
        <f>IF($E$4="Yes",D102*$E$5,D102)</f>
        <v>9.614931524924944E-2</v>
      </c>
      <c r="G102" s="25" t="str">
        <f>VLOOKUP(A102,'[1]10-year CDS Spreads'!$A$2:$D$158,4,FALSE)</f>
        <v>NA</v>
      </c>
      <c r="H102" s="26" t="str">
        <f>IF(I102="NA","NA",$E$3+I102)</f>
        <v>NA</v>
      </c>
      <c r="I102" s="31" t="str">
        <f>IF(G102="NA","NA",G102*$E$5)</f>
        <v>NA</v>
      </c>
    </row>
    <row r="103" spans="1:9" ht="15.75" hidden="1">
      <c r="A103" s="30" t="str">
        <f>'[1]Sovereign Ratings (Moody''s,S&amp;P)'!A97</f>
        <v>Mongolia</v>
      </c>
      <c r="B103" s="29" t="str">
        <f>VLOOKUP(A103,'[1]Regional lookup table'!$A$2:$B$162,2,FALSE)</f>
        <v>Asia</v>
      </c>
      <c r="C103" s="28" t="str">
        <f>VLOOKUP(A103,'[1]Sovereign Ratings (Moody''s,S&amp;P)'!$A$2:$D$158,4,FALSE)</f>
        <v>B2</v>
      </c>
      <c r="D103" s="27">
        <f>VLOOKUP(C103,$J$9:$K$31,2,FALSE)/10000</f>
        <v>5.4082425964057379E-2</v>
      </c>
      <c r="E103" s="27">
        <f>$E$3+F103</f>
        <v>0.12347048740804473</v>
      </c>
      <c r="F103" s="26">
        <f>IF($E$4="Yes",D103*$E$5,D103)</f>
        <v>8.1370487408044728E-2</v>
      </c>
      <c r="G103" s="25" t="str">
        <f>VLOOKUP(A103,'[1]10-year CDS Spreads'!$A$2:$D$158,4,FALSE)</f>
        <v>NA</v>
      </c>
      <c r="H103" s="26" t="str">
        <f>IF(I103="NA","NA",$E$3+I103)</f>
        <v>NA</v>
      </c>
      <c r="I103" s="31" t="str">
        <f>IF(G103="NA","NA",G103*$E$5)</f>
        <v>NA</v>
      </c>
    </row>
    <row r="104" spans="1:9" ht="15.75" hidden="1">
      <c r="A104" s="30" t="str">
        <f>'[1]Sovereign Ratings (Moody''s,S&amp;P)'!A98</f>
        <v>Montenegro</v>
      </c>
      <c r="B104" s="29" t="str">
        <f>VLOOKUP(A104,'[1]Regional lookup table'!$A$2:$B$162,2,FALSE)</f>
        <v>Eastern Europe &amp; Russia</v>
      </c>
      <c r="C104" s="28" t="str">
        <f>VLOOKUP(A104,'[1]Sovereign Ratings (Moody''s,S&amp;P)'!$A$2:$D$158,4,FALSE)</f>
        <v>B1</v>
      </c>
      <c r="D104" s="27">
        <f>VLOOKUP(C104,$J$9:$K$31,2,FALSE)/10000</f>
        <v>4.4259763128705075E-2</v>
      </c>
      <c r="E104" s="27">
        <f>$E$3+F104</f>
        <v>0.10869165956684003</v>
      </c>
      <c r="F104" s="26">
        <f>IF($E$4="Yes",D104*$E$5,D104)</f>
        <v>6.6591659566840031E-2</v>
      </c>
      <c r="G104" s="25" t="str">
        <f>VLOOKUP(A104,'[1]10-year CDS Spreads'!$A$2:$D$158,4,FALSE)</f>
        <v>NA</v>
      </c>
      <c r="H104" s="26" t="str">
        <f>IF(I104="NA","NA",$E$3+I104)</f>
        <v>NA</v>
      </c>
      <c r="I104" s="31" t="str">
        <f>IF(G104="NA","NA",G104*$E$5)</f>
        <v>NA</v>
      </c>
    </row>
    <row r="105" spans="1:9" ht="15.75" hidden="1">
      <c r="A105" s="30" t="str">
        <f>'[1]Sovereign Ratings (Moody''s,S&amp;P)'!A99</f>
        <v>Montserrat</v>
      </c>
      <c r="B105" s="29" t="str">
        <f>VLOOKUP(A105,'[1]Regional lookup table'!$A$2:$B$162,2,FALSE)</f>
        <v>Caribbean</v>
      </c>
      <c r="C105" s="28" t="str">
        <f>VLOOKUP(A105,'[1]Sovereign Ratings (Moody''s,S&amp;P)'!$A$2:$D$158,4,FALSE)</f>
        <v>Baa3</v>
      </c>
      <c r="D105" s="27">
        <f>VLOOKUP(C105,$J$9:$K$31,2,FALSE)/10000</f>
        <v>2.160985823777507E-2</v>
      </c>
      <c r="E105" s="27">
        <f>$E$3+F105</f>
        <v>7.4613421250650361E-2</v>
      </c>
      <c r="F105" s="26">
        <f>IF($E$4="Yes",D105*$E$5,D105)</f>
        <v>3.2513421250650362E-2</v>
      </c>
      <c r="G105" s="25" t="str">
        <f>VLOOKUP(A105,'[1]10-year CDS Spreads'!$A$2:$D$158,4,FALSE)</f>
        <v>NA</v>
      </c>
      <c r="H105" s="26" t="str">
        <f>IF(I105="NA","NA",$E$3+I105)</f>
        <v>NA</v>
      </c>
      <c r="I105" s="31" t="str">
        <f>IF(G105="NA","NA",G105*$E$5)</f>
        <v>NA</v>
      </c>
    </row>
    <row r="106" spans="1:9" ht="15.75" hidden="1">
      <c r="A106" s="30" t="str">
        <f>'[1]Sovereign Ratings (Moody''s,S&amp;P)'!A100</f>
        <v>Morocco</v>
      </c>
      <c r="B106" s="29" t="str">
        <f>VLOOKUP(A106,'[1]Regional lookup table'!$A$2:$B$162,2,FALSE)</f>
        <v>Africa</v>
      </c>
      <c r="C106" s="28" t="str">
        <f>VLOOKUP(A106,'[1]Sovereign Ratings (Moody''s,S&amp;P)'!$A$2:$D$158,4,FALSE)</f>
        <v>Ba1</v>
      </c>
      <c r="D106" s="27">
        <f>VLOOKUP(C106,$J$9:$K$31,2,FALSE)/10000</f>
        <v>2.4614437458000481E-2</v>
      </c>
      <c r="E106" s="27">
        <f>$E$3+F106</f>
        <v>7.913400388443062E-2</v>
      </c>
      <c r="F106" s="26">
        <f>IF($E$4="Yes",D106*$E$5,D106)</f>
        <v>3.7034003884430629E-2</v>
      </c>
      <c r="G106" s="25">
        <f>VLOOKUP(A106,'[1]10-year CDS Spreads'!$A$2:$D$158,4,FALSE)</f>
        <v>1.43E-2</v>
      </c>
      <c r="H106" s="26">
        <f>IF(I106="NA","NA",$E$3+I106)</f>
        <v>6.3615269501933122E-2</v>
      </c>
      <c r="I106" s="31">
        <f>IF(G106="NA","NA",G106*$E$5)</f>
        <v>2.151526950193312E-2</v>
      </c>
    </row>
    <row r="107" spans="1:9" ht="15.75" hidden="1">
      <c r="A107" s="30" t="str">
        <f>'[1]Sovereign Ratings (Moody''s,S&amp;P)'!A101</f>
        <v>Mozambique</v>
      </c>
      <c r="B107" s="29" t="str">
        <f>VLOOKUP(A107,'[1]Regional lookup table'!$A$2:$B$162,2,FALSE)</f>
        <v>Africa</v>
      </c>
      <c r="C107" s="28" t="str">
        <f>VLOOKUP(A107,'[1]Sovereign Ratings (Moody''s,S&amp;P)'!$A$2:$D$158,4,FALSE)</f>
        <v>Caa3</v>
      </c>
      <c r="D107" s="27">
        <f>VLOOKUP(C107,$J$9:$K$31,2,FALSE)/10000</f>
        <v>9.8342189092762475E-2</v>
      </c>
      <c r="E107" s="27">
        <f>$E$3+F107</f>
        <v>0.1900621469748848</v>
      </c>
      <c r="F107" s="26">
        <f>IF($E$4="Yes",D107*$E$5,D107)</f>
        <v>0.1479621469748848</v>
      </c>
      <c r="G107" s="25" t="str">
        <f>VLOOKUP(A107,'[1]10-year CDS Spreads'!$A$2:$D$158,4,FALSE)</f>
        <v>NA</v>
      </c>
      <c r="H107" s="26" t="str">
        <f>IF(I107="NA","NA",$E$3+I107)</f>
        <v>NA</v>
      </c>
      <c r="I107" s="31" t="str">
        <f>IF(G107="NA","NA",G107*$E$5)</f>
        <v>NA</v>
      </c>
    </row>
    <row r="108" spans="1:9" ht="15.75" hidden="1">
      <c r="A108" s="30" t="str">
        <f>'[1]Sovereign Ratings (Moody''s,S&amp;P)'!A102</f>
        <v>Namibia</v>
      </c>
      <c r="B108" s="29" t="str">
        <f>VLOOKUP(A108,'[1]Regional lookup table'!$A$2:$B$162,2,FALSE)</f>
        <v>Africa</v>
      </c>
      <c r="C108" s="28" t="str">
        <f>VLOOKUP(A108,'[1]Sovereign Ratings (Moody''s,S&amp;P)'!$A$2:$D$158,4,FALSE)</f>
        <v>B1</v>
      </c>
      <c r="D108" s="27">
        <f>VLOOKUP(C108,$J$9:$K$31,2,FALSE)/10000</f>
        <v>4.4259763128705075E-2</v>
      </c>
      <c r="E108" s="27">
        <f>$E$3+F108</f>
        <v>0.10869165956684003</v>
      </c>
      <c r="F108" s="26">
        <f>IF($E$4="Yes",D108*$E$5,D108)</f>
        <v>6.6591659566840031E-2</v>
      </c>
      <c r="G108" s="25" t="str">
        <f>VLOOKUP(A108,'[1]10-year CDS Spreads'!$A$2:$D$158,4,FALSE)</f>
        <v>NA</v>
      </c>
      <c r="H108" s="26" t="str">
        <f>IF(I108="NA","NA",$E$3+I108)</f>
        <v>NA</v>
      </c>
      <c r="I108" s="31" t="str">
        <f>IF(G108="NA","NA",G108*$E$5)</f>
        <v>NA</v>
      </c>
    </row>
    <row r="109" spans="1:9" ht="15.75" hidden="1">
      <c r="A109" s="30" t="str">
        <f>'[1]Sovereign Ratings (Moody''s,S&amp;P)'!A103</f>
        <v>Nepal</v>
      </c>
      <c r="B109" s="29" t="str">
        <f>VLOOKUP(A109,'[1]Regional lookup table'!$A$2:$B$162,2,FALSE)</f>
        <v>Asia</v>
      </c>
      <c r="C109" s="28" t="str">
        <f>VLOOKUP(A109,'[1]Sovereign Ratings (Moody''s,S&amp;P)'!$A$2:$D$158,4,FALSE)</f>
        <v>Ba3</v>
      </c>
      <c r="D109" s="27">
        <f>VLOOKUP(C109,$J$9:$K$31,2,FALSE)/10000</f>
        <v>3.5361586207268286E-2</v>
      </c>
      <c r="E109" s="27">
        <f>$E$3+F109</f>
        <v>9.5303780228336937E-2</v>
      </c>
      <c r="F109" s="26">
        <f>IF($E$4="Yes",D109*$E$5,D109)</f>
        <v>5.3203780228336939E-2</v>
      </c>
      <c r="G109" s="25" t="str">
        <f>VLOOKUP(A109,'[1]10-year CDS Spreads'!$A$2:$D$158,4,FALSE)</f>
        <v>NA</v>
      </c>
      <c r="H109" s="26" t="str">
        <f>IF(I109="NA","NA",$E$3+I109)</f>
        <v>NA</v>
      </c>
      <c r="I109" s="31" t="str">
        <f>IF(G109="NA","NA",G109*$E$5)</f>
        <v>NA</v>
      </c>
    </row>
    <row r="110" spans="1:9" ht="15.75" hidden="1">
      <c r="A110" s="30" t="str">
        <f>'[1]Sovereign Ratings (Moody''s,S&amp;P)'!A104</f>
        <v>Netherlands</v>
      </c>
      <c r="B110" s="29" t="str">
        <f>VLOOKUP(A110,'[1]Regional lookup table'!$A$2:$B$162,2,FALSE)</f>
        <v>Western Europe</v>
      </c>
      <c r="C110" s="28" t="str">
        <f>VLOOKUP(A110,'[1]Sovereign Ratings (Moody''s,S&amp;P)'!$A$2:$D$158,4,FALSE)</f>
        <v>Aaa</v>
      </c>
      <c r="D110" s="27">
        <f>VLOOKUP(C110,$J$9:$K$31,2,FALSE)/10000</f>
        <v>0</v>
      </c>
      <c r="E110" s="27">
        <f>$E$3+F110</f>
        <v>4.2099999999999999E-2</v>
      </c>
      <c r="F110" s="26">
        <f>IF($E$4="Yes",D110*$E$5,D110)</f>
        <v>0</v>
      </c>
      <c r="G110" s="25">
        <f>VLOOKUP(A110,'[1]10-year CDS Spreads'!$A$2:$D$158,4,FALSE)</f>
        <v>8.0000000000000015E-4</v>
      </c>
      <c r="H110" s="26">
        <f>IF(I110="NA","NA",$E$3+I110)</f>
        <v>4.3303651440667584E-2</v>
      </c>
      <c r="I110" s="31">
        <f>IF(G110="NA","NA",G110*$E$5)</f>
        <v>1.2036514406675875E-3</v>
      </c>
    </row>
    <row r="111" spans="1:9" ht="15.75" hidden="1">
      <c r="A111" s="30" t="str">
        <f>'[1]Sovereign Ratings (Moody''s,S&amp;P)'!A105</f>
        <v>New Zealand</v>
      </c>
      <c r="B111" s="29" t="str">
        <f>VLOOKUP(A111,'[1]Regional lookup table'!$A$2:$B$162,2,FALSE)</f>
        <v>Australia &amp; New Zealand</v>
      </c>
      <c r="C111" s="28" t="str">
        <f>VLOOKUP(A111,'[1]Sovereign Ratings (Moody''s,S&amp;P)'!$A$2:$D$158,4,FALSE)</f>
        <v>Aaa</v>
      </c>
      <c r="D111" s="27">
        <f>VLOOKUP(C111,$J$9:$K$31,2,FALSE)/10000</f>
        <v>0</v>
      </c>
      <c r="E111" s="27">
        <f>$E$3+F111</f>
        <v>4.2099999999999999E-2</v>
      </c>
      <c r="F111" s="26">
        <f>IF($E$4="Yes",D111*$E$5,D111)</f>
        <v>0</v>
      </c>
      <c r="G111" s="25">
        <f>VLOOKUP(A111,'[1]10-year CDS Spreads'!$A$2:$D$158,4,FALSE)</f>
        <v>6.0000000000000006E-4</v>
      </c>
      <c r="H111" s="26">
        <f>IF(I111="NA","NA",$E$3+I111)</f>
        <v>4.3002738580500688E-2</v>
      </c>
      <c r="I111" s="31">
        <f>IF(G111="NA","NA",G111*$E$5)</f>
        <v>9.0273858050069053E-4</v>
      </c>
    </row>
    <row r="112" spans="1:9" ht="15.75" hidden="1">
      <c r="A112" s="30" t="str">
        <f>'[1]Sovereign Ratings (Moody''s,S&amp;P)'!A106</f>
        <v>Nicaragua</v>
      </c>
      <c r="B112" s="29" t="str">
        <f>VLOOKUP(A112,'[1]Regional lookup table'!$A$2:$B$162,2,FALSE)</f>
        <v>Central and South America</v>
      </c>
      <c r="C112" s="28" t="str">
        <f>VLOOKUP(A112,'[1]Sovereign Ratings (Moody''s,S&amp;P)'!$A$2:$D$158,4,FALSE)</f>
        <v>B2</v>
      </c>
      <c r="D112" s="27">
        <f>VLOOKUP(C112,$J$9:$K$31,2,FALSE)/10000</f>
        <v>5.4082425964057379E-2</v>
      </c>
      <c r="E112" s="27">
        <f>$E$3+F112</f>
        <v>0.12347048740804473</v>
      </c>
      <c r="F112" s="26">
        <f>IF($E$4="Yes",D112*$E$5,D112)</f>
        <v>8.1370487408044728E-2</v>
      </c>
      <c r="G112" s="25">
        <f>VLOOKUP(A112,'[1]10-year CDS Spreads'!$A$2:$D$158,4,FALSE)</f>
        <v>6.2000000000000006E-2</v>
      </c>
      <c r="H112" s="26">
        <f>IF(I112="NA","NA",$E$3+I112)</f>
        <v>0.13538298665173804</v>
      </c>
      <c r="I112" s="31">
        <f>IF(G112="NA","NA",G112*$E$5)</f>
        <v>9.3282986651738023E-2</v>
      </c>
    </row>
    <row r="113" spans="1:9" ht="15.75" hidden="1">
      <c r="A113" s="30" t="str">
        <f>'[1]Sovereign Ratings (Moody''s,S&amp;P)'!A107</f>
        <v>Niger</v>
      </c>
      <c r="B113" s="29" t="str">
        <f>VLOOKUP(A113,'[1]Regional lookup table'!$A$2:$B$162,2,FALSE)</f>
        <v>Africa</v>
      </c>
      <c r="C113" s="28" t="str">
        <f>VLOOKUP(A113,'[1]Sovereign Ratings (Moody''s,S&amp;P)'!$A$2:$D$158,4,FALSE)</f>
        <v>Caa3</v>
      </c>
      <c r="D113" s="27">
        <f>VLOOKUP(C113,$J$9:$K$31,2,FALSE)/10000</f>
        <v>9.8342189092762475E-2</v>
      </c>
      <c r="E113" s="27">
        <f>$E$3+F113</f>
        <v>0.1900621469748848</v>
      </c>
      <c r="F113" s="26">
        <f>IF($E$4="Yes",D113*$E$5,D113)</f>
        <v>0.1479621469748848</v>
      </c>
      <c r="G113" s="25" t="str">
        <f>VLOOKUP(A113,'[1]10-year CDS Spreads'!$A$2:$D$158,4,FALSE)</f>
        <v>NA</v>
      </c>
      <c r="H113" s="26" t="str">
        <f>IF(I113="NA","NA",$E$3+I113)</f>
        <v>NA</v>
      </c>
      <c r="I113" s="31" t="str">
        <f>IF(G113="NA","NA",G113*$E$5)</f>
        <v>NA</v>
      </c>
    </row>
    <row r="114" spans="1:9" ht="15.75" hidden="1">
      <c r="A114" s="30" t="str">
        <f>'[1]Sovereign Ratings (Moody''s,S&amp;P)'!A108</f>
        <v>Nigeria</v>
      </c>
      <c r="B114" s="29" t="str">
        <f>VLOOKUP(A114,'[1]Regional lookup table'!$A$2:$B$162,2,FALSE)</f>
        <v>Africa</v>
      </c>
      <c r="C114" s="28" t="str">
        <f>VLOOKUP(A114,'[1]Sovereign Ratings (Moody''s,S&amp;P)'!$A$2:$D$158,4,FALSE)</f>
        <v>B3</v>
      </c>
      <c r="D114" s="27">
        <f>VLOOKUP(C114,$J$9:$K$31,2,FALSE)/10000</f>
        <v>6.3905088799409676E-2</v>
      </c>
      <c r="E114" s="27">
        <f>$E$3+F114</f>
        <v>0.13824931524924944</v>
      </c>
      <c r="F114" s="26">
        <f>IF($E$4="Yes",D114*$E$5,D114)</f>
        <v>9.614931524924944E-2</v>
      </c>
      <c r="G114" s="25">
        <f>VLOOKUP(A114,'[1]10-year CDS Spreads'!$A$2:$D$158,4,FALSE)</f>
        <v>5.8799999999999998E-2</v>
      </c>
      <c r="H114" s="26">
        <f>IF(I114="NA","NA",$E$3+I114)</f>
        <v>0.13056838088906764</v>
      </c>
      <c r="I114" s="31">
        <f>IF(G114="NA","NA",G114*$E$5)</f>
        <v>8.8468380889067652E-2</v>
      </c>
    </row>
    <row r="115" spans="1:9" ht="15.75" hidden="1">
      <c r="A115" s="30" t="str">
        <f>'[1]Sovereign Ratings (Moody''s,S&amp;P)'!A109</f>
        <v>Norway</v>
      </c>
      <c r="B115" s="29" t="str">
        <f>VLOOKUP(A115,'[1]Regional lookup table'!$A$2:$B$162,2,FALSE)</f>
        <v>Western Europe</v>
      </c>
      <c r="C115" s="28" t="str">
        <f>VLOOKUP(A115,'[1]Sovereign Ratings (Moody''s,S&amp;P)'!$A$2:$D$158,4,FALSE)</f>
        <v>Aaa</v>
      </c>
      <c r="D115" s="27">
        <f>VLOOKUP(C115,$J$9:$K$31,2,FALSE)/10000</f>
        <v>0</v>
      </c>
      <c r="E115" s="27">
        <f>$E$3+F115</f>
        <v>4.2099999999999999E-2</v>
      </c>
      <c r="F115" s="26">
        <f>IF($E$4="Yes",D115*$E$5,D115)</f>
        <v>0</v>
      </c>
      <c r="G115" s="25">
        <f>VLOOKUP(A115,'[1]10-year CDS Spreads'!$A$2:$D$158,4,FALSE)</f>
        <v>5.0000000000000023E-4</v>
      </c>
      <c r="H115" s="26">
        <f>IF(I115="NA","NA",$E$3+I115)</f>
        <v>4.285228215041724E-2</v>
      </c>
      <c r="I115" s="31">
        <f>IF(G115="NA","NA",G115*$E$5)</f>
        <v>7.5228215041724231E-4</v>
      </c>
    </row>
    <row r="116" spans="1:9" ht="15.75" hidden="1">
      <c r="A116" s="30" t="str">
        <f>'[1]Sovereign Ratings (Moody''s,S&amp;P)'!A110</f>
        <v>Oman</v>
      </c>
      <c r="B116" s="29" t="str">
        <f>VLOOKUP(A116,'[1]Regional lookup table'!$A$2:$B$162,2,FALSE)</f>
        <v>Middle East</v>
      </c>
      <c r="C116" s="28" t="str">
        <f>VLOOKUP(A116,'[1]Sovereign Ratings (Moody''s,S&amp;P)'!$A$2:$D$158,4,FALSE)</f>
        <v>Ba1</v>
      </c>
      <c r="D116" s="27">
        <f>VLOOKUP(C116,$J$9:$K$31,2,FALSE)/10000</f>
        <v>2.4614437458000481E-2</v>
      </c>
      <c r="E116" s="27">
        <f>$E$3+F116</f>
        <v>7.913400388443062E-2</v>
      </c>
      <c r="F116" s="26">
        <f>IF($E$4="Yes",D116*$E$5,D116)</f>
        <v>3.7034003884430629E-2</v>
      </c>
      <c r="G116" s="25">
        <f>VLOOKUP(A116,'[1]10-year CDS Spreads'!$A$2:$D$158,4,FALSE)</f>
        <v>1.49E-2</v>
      </c>
      <c r="H116" s="26">
        <f>IF(I116="NA","NA",$E$3+I116)</f>
        <v>6.4518008082433811E-2</v>
      </c>
      <c r="I116" s="31">
        <f>IF(G116="NA","NA",G116*$E$5)</f>
        <v>2.2418008082433813E-2</v>
      </c>
    </row>
    <row r="117" spans="1:9" ht="15.75" hidden="1">
      <c r="A117" s="30" t="str">
        <f>'[1]Sovereign Ratings (Moody''s,S&amp;P)'!A111</f>
        <v>Pakistan</v>
      </c>
      <c r="B117" s="29" t="str">
        <f>VLOOKUP(A117,'[1]Regional lookup table'!$A$2:$B$162,2,FALSE)</f>
        <v>Asia</v>
      </c>
      <c r="C117" s="28" t="str">
        <f>VLOOKUP(A117,'[1]Sovereign Ratings (Moody''s,S&amp;P)'!$A$2:$D$158,4,FALSE)</f>
        <v>Caa2</v>
      </c>
      <c r="D117" s="27">
        <f>VLOOKUP(C117,$J$9:$K$31,2,FALSE)/10000</f>
        <v>8.851952625741015E-2</v>
      </c>
      <c r="E117" s="27">
        <f>$E$3+F117</f>
        <v>0.17528331913368006</v>
      </c>
      <c r="F117" s="26">
        <f>IF($E$4="Yes",D117*$E$5,D117)</f>
        <v>0.13318331913368006</v>
      </c>
      <c r="G117" s="25">
        <f>VLOOKUP(A117,'[1]10-year CDS Spreads'!$A$2:$D$158,4,FALSE)</f>
        <v>7.4700000000000003E-2</v>
      </c>
      <c r="H117" s="26">
        <f>IF(I117="NA","NA",$E$3+I117)</f>
        <v>0.15449095327233597</v>
      </c>
      <c r="I117" s="31">
        <f>IF(G117="NA","NA",G117*$E$5)</f>
        <v>0.11239095327233596</v>
      </c>
    </row>
    <row r="118" spans="1:9" ht="15.75" hidden="1">
      <c r="A118" s="30" t="str">
        <f>'[1]Sovereign Ratings (Moody''s,S&amp;P)'!A112</f>
        <v>Panama</v>
      </c>
      <c r="B118" s="29" t="str">
        <f>VLOOKUP(A118,'[1]Regional lookup table'!$A$2:$B$162,2,FALSE)</f>
        <v>Central and South America</v>
      </c>
      <c r="C118" s="28" t="str">
        <f>VLOOKUP(A118,'[1]Sovereign Ratings (Moody''s,S&amp;P)'!$A$2:$D$158,4,FALSE)</f>
        <v>Baa3</v>
      </c>
      <c r="D118" s="27">
        <f>VLOOKUP(C118,$J$9:$K$31,2,FALSE)/10000</f>
        <v>2.160985823777507E-2</v>
      </c>
      <c r="E118" s="27">
        <f>$E$3+F118</f>
        <v>7.4613421250650361E-2</v>
      </c>
      <c r="F118" s="26">
        <f>IF($E$4="Yes",D118*$E$5,D118)</f>
        <v>3.2513421250650362E-2</v>
      </c>
      <c r="G118" s="25">
        <f>VLOOKUP(A118,'[1]10-year CDS Spreads'!$A$2:$D$158,4,FALSE)</f>
        <v>2.7900000000000001E-2</v>
      </c>
      <c r="H118" s="26">
        <f>IF(I118="NA","NA",$E$3+I118)</f>
        <v>8.4077343993282094E-2</v>
      </c>
      <c r="I118" s="31">
        <f>IF(G118="NA","NA",G118*$E$5)</f>
        <v>4.1977343993282103E-2</v>
      </c>
    </row>
    <row r="119" spans="1:9" ht="15.75" hidden="1">
      <c r="A119" s="30" t="str">
        <f>'[1]Sovereign Ratings (Moody''s,S&amp;P)'!A113</f>
        <v>Papua New Guinea</v>
      </c>
      <c r="B119" s="29" t="str">
        <f>VLOOKUP(A119,'[1]Regional lookup table'!$A$2:$B$162,2,FALSE)</f>
        <v>Asia</v>
      </c>
      <c r="C119" s="28" t="str">
        <f>VLOOKUP(A119,'[1]Sovereign Ratings (Moody''s,S&amp;P)'!$A$2:$D$158,4,FALSE)</f>
        <v>B2</v>
      </c>
      <c r="D119" s="27">
        <f>VLOOKUP(C119,$J$9:$K$31,2,FALSE)/10000</f>
        <v>5.4082425964057379E-2</v>
      </c>
      <c r="E119" s="27">
        <f>$E$3+F119</f>
        <v>0.12347048740804473</v>
      </c>
      <c r="F119" s="26">
        <f>IF($E$4="Yes",D119*$E$5,D119)</f>
        <v>8.1370487408044728E-2</v>
      </c>
      <c r="G119" s="25" t="str">
        <f>VLOOKUP(A119,'[1]10-year CDS Spreads'!$A$2:$D$158,4,FALSE)</f>
        <v>NA</v>
      </c>
      <c r="H119" s="26" t="str">
        <f>IF(I119="NA","NA",$E$3+I119)</f>
        <v>NA</v>
      </c>
      <c r="I119" s="31" t="str">
        <f>IF(G119="NA","NA",G119*$E$5)</f>
        <v>NA</v>
      </c>
    </row>
    <row r="120" spans="1:9" ht="15.75" hidden="1">
      <c r="A120" s="30" t="str">
        <f>'[1]Sovereign Ratings (Moody''s,S&amp;P)'!A114</f>
        <v>Paraguay</v>
      </c>
      <c r="B120" s="29" t="str">
        <f>VLOOKUP(A120,'[1]Regional lookup table'!$A$2:$B$162,2,FALSE)</f>
        <v>Central and South America</v>
      </c>
      <c r="C120" s="28" t="str">
        <f>VLOOKUP(A120,'[1]Sovereign Ratings (Moody''s,S&amp;P)'!$A$2:$D$158,4,FALSE)</f>
        <v>Baa3</v>
      </c>
      <c r="D120" s="27">
        <f>VLOOKUP(C120,$J$9:$K$31,2,FALSE)/10000</f>
        <v>2.160985823777507E-2</v>
      </c>
      <c r="E120" s="27">
        <f>$E$3+F120</f>
        <v>7.4613421250650361E-2</v>
      </c>
      <c r="F120" s="26">
        <f>IF($E$4="Yes",D120*$E$5,D120)</f>
        <v>3.2513421250650362E-2</v>
      </c>
      <c r="G120" s="25" t="str">
        <f>VLOOKUP(A120,'[1]10-year CDS Spreads'!$A$2:$D$158,4,FALSE)</f>
        <v>NA</v>
      </c>
      <c r="H120" s="26" t="str">
        <f>IF(I120="NA","NA",$E$3+I120)</f>
        <v>NA</v>
      </c>
      <c r="I120" s="31" t="str">
        <f>IF(G120="NA","NA",G120*$E$5)</f>
        <v>NA</v>
      </c>
    </row>
    <row r="121" spans="1:9" ht="15.75" hidden="1">
      <c r="A121" s="30" t="str">
        <f>'[1]Sovereign Ratings (Moody''s,S&amp;P)'!A115</f>
        <v>Peru</v>
      </c>
      <c r="B121" s="29" t="str">
        <f>VLOOKUP(A121,'[1]Regional lookup table'!$A$2:$B$162,2,FALSE)</f>
        <v>Central and South America</v>
      </c>
      <c r="C121" s="28" t="str">
        <f>VLOOKUP(A121,'[1]Sovereign Ratings (Moody''s,S&amp;P)'!$A$2:$D$158,4,FALSE)</f>
        <v>Baa1</v>
      </c>
      <c r="D121" s="27">
        <f>VLOOKUP(C121,$J$9:$K$31,2,FALSE)/10000</f>
        <v>1.5716260536563685E-2</v>
      </c>
      <c r="E121" s="27">
        <f>$E$3+F121</f>
        <v>6.5746124545927528E-2</v>
      </c>
      <c r="F121" s="26">
        <f>IF($E$4="Yes",D121*$E$5,D121)</f>
        <v>2.3646124545927533E-2</v>
      </c>
      <c r="G121" s="25">
        <f>VLOOKUP(A121,'[1]10-year CDS Spreads'!$A$2:$D$158,4,FALSE)</f>
        <v>1.2199999999999999E-2</v>
      </c>
      <c r="H121" s="26">
        <f>IF(I121="NA","NA",$E$3+I121)</f>
        <v>6.0455684470180703E-2</v>
      </c>
      <c r="I121" s="31">
        <f>IF(G121="NA","NA",G121*$E$5)</f>
        <v>1.8355684470180704E-2</v>
      </c>
    </row>
    <row r="122" spans="1:9" ht="15.75" hidden="1">
      <c r="A122" s="30" t="str">
        <f>'[1]Sovereign Ratings (Moody''s,S&amp;P)'!A116</f>
        <v>Philippines</v>
      </c>
      <c r="B122" s="29" t="str">
        <f>VLOOKUP(A122,'[1]Regional lookup table'!$A$2:$B$162,2,FALSE)</f>
        <v>Asia</v>
      </c>
      <c r="C122" s="28" t="str">
        <f>VLOOKUP(A122,'[1]Sovereign Ratings (Moody''s,S&amp;P)'!$A$2:$D$158,4,FALSE)</f>
        <v>Baa2</v>
      </c>
      <c r="D122" s="27">
        <f>VLOOKUP(C122,$J$9:$K$31,2,FALSE)/10000</f>
        <v>1.87208397567891E-2</v>
      </c>
      <c r="E122" s="27">
        <f>$E$3+F122</f>
        <v>7.0266707179707802E-2</v>
      </c>
      <c r="F122" s="26">
        <f>IF($E$4="Yes",D122*$E$5,D122)</f>
        <v>2.8166707179707803E-2</v>
      </c>
      <c r="G122" s="25">
        <f>VLOOKUP(A122,'[1]10-year CDS Spreads'!$A$2:$D$158,4,FALSE)</f>
        <v>9.7999999999999997E-3</v>
      </c>
      <c r="H122" s="26">
        <f>IF(I122="NA","NA",$E$3+I122)</f>
        <v>5.6844730148177938E-2</v>
      </c>
      <c r="I122" s="31">
        <f>IF(G122="NA","NA",G122*$E$5)</f>
        <v>1.4744730148177943E-2</v>
      </c>
    </row>
    <row r="123" spans="1:9" ht="15.75" hidden="1">
      <c r="A123" s="30" t="str">
        <f>'[1]Sovereign Ratings (Moody''s,S&amp;P)'!A117</f>
        <v>Poland</v>
      </c>
      <c r="B123" s="29" t="str">
        <f>VLOOKUP(A123,'[1]Regional lookup table'!$A$2:$B$162,2,FALSE)</f>
        <v>Eastern Europe &amp; Russia</v>
      </c>
      <c r="C123" s="28" t="str">
        <f>VLOOKUP(A123,'[1]Sovereign Ratings (Moody''s,S&amp;P)'!$A$2:$D$158,4,FALSE)</f>
        <v>A2</v>
      </c>
      <c r="D123" s="27">
        <f>VLOOKUP(C123,$J$9:$K$31,2,FALSE)/10000</f>
        <v>8.3203732252395985E-3</v>
      </c>
      <c r="E123" s="27">
        <f>$E$3+F123</f>
        <v>5.4618536524314573E-2</v>
      </c>
      <c r="F123" s="26">
        <f>IF($E$4="Yes",D123*$E$5,D123)</f>
        <v>1.2518536524314576E-2</v>
      </c>
      <c r="G123" s="25">
        <f>VLOOKUP(A123,'[1]10-year CDS Spreads'!$A$2:$D$158,4,FALSE)</f>
        <v>9.2999999999999992E-3</v>
      </c>
      <c r="H123" s="26">
        <f>IF(I123="NA","NA",$E$3+I123)</f>
        <v>5.6092447997760697E-2</v>
      </c>
      <c r="I123" s="31">
        <f>IF(G123="NA","NA",G123*$E$5)</f>
        <v>1.39924479977607E-2</v>
      </c>
    </row>
    <row r="124" spans="1:9" ht="15.75" hidden="1">
      <c r="A124" s="30" t="str">
        <f>'[1]Sovereign Ratings (Moody''s,S&amp;P)'!A118</f>
        <v>Portugal</v>
      </c>
      <c r="B124" s="29" t="str">
        <f>VLOOKUP(A124,'[1]Regional lookup table'!$A$2:$B$162,2,FALSE)</f>
        <v>Western Europe</v>
      </c>
      <c r="C124" s="28" t="str">
        <f>VLOOKUP(A124,'[1]Sovereign Ratings (Moody''s,S&amp;P)'!$A$2:$D$158,4,FALSE)</f>
        <v>A3</v>
      </c>
      <c r="D124" s="27">
        <f>VLOOKUP(C124,$J$9:$K$31,2,FALSE)/10000</f>
        <v>1.1787195402422766E-2</v>
      </c>
      <c r="E124" s="27">
        <f>$E$3+F124</f>
        <v>5.9834593409445649E-2</v>
      </c>
      <c r="F124" s="26">
        <f>IF($E$4="Yes",D124*$E$5,D124)</f>
        <v>1.7734593409445651E-2</v>
      </c>
      <c r="G124" s="25">
        <f>VLOOKUP(A124,'[1]10-year CDS Spreads'!$A$2:$D$158,4,FALSE)</f>
        <v>3.7999999999999996E-3</v>
      </c>
      <c r="H124" s="26">
        <f>IF(I124="NA","NA",$E$3+I124)</f>
        <v>4.7817344343171038E-2</v>
      </c>
      <c r="I124" s="31">
        <f>IF(G124="NA","NA",G124*$E$5)</f>
        <v>5.7173443431710385E-3</v>
      </c>
    </row>
    <row r="125" spans="1:9" ht="15.75" hidden="1">
      <c r="A125" s="30" t="str">
        <f>'[1]Sovereign Ratings (Moody''s,S&amp;P)'!A119</f>
        <v>Qatar</v>
      </c>
      <c r="B125" s="29" t="str">
        <f>VLOOKUP(A125,'[1]Regional lookup table'!$A$2:$B$162,2,FALSE)</f>
        <v>Middle East</v>
      </c>
      <c r="C125" s="28" t="str">
        <f>VLOOKUP(A125,'[1]Sovereign Ratings (Moody''s,S&amp;P)'!$A$2:$D$158,4,FALSE)</f>
        <v>Aa2</v>
      </c>
      <c r="D125" s="27">
        <f>VLOOKUP(C125,$J$9:$K$31,2,FALSE)/10000</f>
        <v>4.8535510480564323E-3</v>
      </c>
      <c r="E125" s="27">
        <f>$E$3+F125</f>
        <v>4.9402479639183504E-2</v>
      </c>
      <c r="F125" s="26">
        <f>IF($E$4="Yes",D125*$E$5,D125)</f>
        <v>7.3024796391835027E-3</v>
      </c>
      <c r="G125" s="25">
        <f>VLOOKUP(A125,'[1]10-year CDS Spreads'!$A$2:$D$158,4,FALSE)</f>
        <v>5.0999999999999995E-3</v>
      </c>
      <c r="H125" s="26">
        <f>IF(I125="NA","NA",$E$3+I125)</f>
        <v>4.9773277934255865E-2</v>
      </c>
      <c r="I125" s="31">
        <f>IF(G125="NA","NA",G125*$E$5)</f>
        <v>7.673277934255868E-3</v>
      </c>
    </row>
    <row r="126" spans="1:9" ht="15.75" hidden="1">
      <c r="A126" s="30" t="str">
        <f>'[1]Sovereign Ratings (Moody''s,S&amp;P)'!A120</f>
        <v>Ras Al Khaimah (Emirate of)</v>
      </c>
      <c r="B126" s="29" t="str">
        <f>VLOOKUP(A126,'[1]Regional lookup table'!$A$2:$B$162,2,FALSE)</f>
        <v>Middle East</v>
      </c>
      <c r="C126" s="28" t="str">
        <f>VLOOKUP(A126,'[1]Sovereign Ratings (Moody''s,S&amp;P)'!$A$2:$D$158,4,FALSE)</f>
        <v>A3</v>
      </c>
      <c r="D126" s="27">
        <f>VLOOKUP(C126,$J$9:$K$31,2,FALSE)/10000</f>
        <v>1.1787195402422766E-2</v>
      </c>
      <c r="E126" s="27">
        <f>$E$3+F126</f>
        <v>5.9834593409445649E-2</v>
      </c>
      <c r="F126" s="26">
        <f>IF($E$4="Yes",D126*$E$5,D126)</f>
        <v>1.7734593409445651E-2</v>
      </c>
      <c r="G126" s="25" t="str">
        <f>VLOOKUP(A126,'[1]10-year CDS Spreads'!$A$2:$D$158,4,FALSE)</f>
        <v>NA</v>
      </c>
      <c r="H126" s="26" t="str">
        <f>IF(I126="NA","NA",$E$3+I126)</f>
        <v>NA</v>
      </c>
      <c r="I126" s="31" t="str">
        <f>IF(G126="NA","NA",G126*$E$5)</f>
        <v>NA</v>
      </c>
    </row>
    <row r="127" spans="1:9" ht="15.75">
      <c r="A127" s="30" t="str">
        <f>'[1]Sovereign Ratings (Moody''s,S&amp;P)'!A121</f>
        <v>Romania</v>
      </c>
      <c r="B127" s="29" t="str">
        <f>VLOOKUP(A127,'[1]Regional lookup table'!$A$2:$B$162,2,FALSE)</f>
        <v>Eastern Europe &amp; Russia</v>
      </c>
      <c r="C127" s="28" t="str">
        <f>VLOOKUP(A127,'[1]Sovereign Ratings (Moody''s,S&amp;P)'!$A$2:$D$158,4,FALSE)</f>
        <v>Baa3</v>
      </c>
      <c r="D127" s="27">
        <f>VLOOKUP(C127,$J$9:$K$31,2,FALSE)/10000</f>
        <v>2.160985823777507E-2</v>
      </c>
      <c r="E127" s="27">
        <f>$E$3+F127</f>
        <v>7.4613421250650361E-2</v>
      </c>
      <c r="F127" s="26">
        <f>IF($E$4="Yes",D127*$E$5,D127)</f>
        <v>3.2513421250650362E-2</v>
      </c>
      <c r="G127" s="25">
        <f>VLOOKUP(A127,'[1]10-year CDS Spreads'!$A$2:$D$158,4,FALSE)</f>
        <v>2.5000000000000001E-2</v>
      </c>
      <c r="H127" s="26">
        <f>IF(I127="NA","NA",$E$3+I127)</f>
        <v>7.971410752086211E-2</v>
      </c>
      <c r="I127" s="31">
        <f>IF(G127="NA","NA",G127*$E$5)</f>
        <v>3.7614107520862104E-2</v>
      </c>
    </row>
    <row r="128" spans="1:9" ht="15.75" hidden="1">
      <c r="A128" s="30" t="str">
        <f>'[1]Sovereign Ratings (Moody''s,S&amp;P)'!A122</f>
        <v>Rwanda</v>
      </c>
      <c r="B128" s="29" t="str">
        <f>VLOOKUP(A128,'[1]Regional lookup table'!$A$2:$B$162,2,FALSE)</f>
        <v>Africa</v>
      </c>
      <c r="C128" s="28" t="str">
        <f>VLOOKUP(A128,'[1]Sovereign Ratings (Moody''s,S&amp;P)'!$A$2:$D$158,4,FALSE)</f>
        <v>B2</v>
      </c>
      <c r="D128" s="27">
        <f>VLOOKUP(C128,$J$9:$K$31,2,FALSE)/10000</f>
        <v>5.4082425964057379E-2</v>
      </c>
      <c r="E128" s="27">
        <f>$E$3+F128</f>
        <v>0.12347048740804473</v>
      </c>
      <c r="F128" s="26">
        <f>IF($E$4="Yes",D128*$E$5,D128)</f>
        <v>8.1370487408044728E-2</v>
      </c>
      <c r="G128" s="25">
        <f>VLOOKUP(A128,'[1]10-year CDS Spreads'!$A$2:$D$158,4,FALSE)</f>
        <v>5.2600000000000001E-2</v>
      </c>
      <c r="H128" s="26">
        <f>IF(I128="NA","NA",$E$3+I128)</f>
        <v>0.12124008222389386</v>
      </c>
      <c r="I128" s="31">
        <f>IF(G128="NA","NA",G128*$E$5)</f>
        <v>7.9140082223893862E-2</v>
      </c>
    </row>
    <row r="129" spans="1:9" ht="15.75" hidden="1">
      <c r="A129" s="30" t="str">
        <f>'[1]Sovereign Ratings (Moody''s,S&amp;P)'!A123</f>
        <v>Saudi Arabia</v>
      </c>
      <c r="B129" s="29" t="str">
        <f>VLOOKUP(A129,'[1]Regional lookup table'!$A$2:$B$162,2,FALSE)</f>
        <v>Middle East</v>
      </c>
      <c r="C129" s="28" t="str">
        <f>VLOOKUP(A129,'[1]Sovereign Ratings (Moody''s,S&amp;P)'!$A$2:$D$158,4,FALSE)</f>
        <v>Aa3</v>
      </c>
      <c r="D129" s="27">
        <f>VLOOKUP(C129,$J$9:$K$31,2,FALSE)/10000</f>
        <v>5.8935977012113828E-3</v>
      </c>
      <c r="E129" s="27">
        <f>$E$3+F129</f>
        <v>5.0967296704722824E-2</v>
      </c>
      <c r="F129" s="26">
        <f>IF($E$4="Yes",D129*$E$5,D129)</f>
        <v>8.8672967047228254E-3</v>
      </c>
      <c r="G129" s="25">
        <f>VLOOKUP(A129,'[1]10-year CDS Spreads'!$A$2:$D$158,4,FALSE)</f>
        <v>9.4999999999999998E-3</v>
      </c>
      <c r="H129" s="26">
        <f>IF(I129="NA","NA",$E$3+I129)</f>
        <v>5.6393360857927594E-2</v>
      </c>
      <c r="I129" s="31">
        <f>IF(G129="NA","NA",G129*$E$5)</f>
        <v>1.4293360857927599E-2</v>
      </c>
    </row>
    <row r="130" spans="1:9" ht="15.75" hidden="1">
      <c r="A130" s="30" t="str">
        <f>'[1]Sovereign Ratings (Moody''s,S&amp;P)'!A124</f>
        <v>Senegal</v>
      </c>
      <c r="B130" s="29" t="str">
        <f>VLOOKUP(A130,'[1]Regional lookup table'!$A$2:$B$162,2,FALSE)</f>
        <v>Africa</v>
      </c>
      <c r="C130" s="28" t="str">
        <f>VLOOKUP(A130,'[1]Sovereign Ratings (Moody''s,S&amp;P)'!$A$2:$D$158,4,FALSE)</f>
        <v>B3</v>
      </c>
      <c r="D130" s="27">
        <f>VLOOKUP(C130,$J$9:$K$31,2,FALSE)/10000</f>
        <v>6.3905088799409676E-2</v>
      </c>
      <c r="E130" s="27">
        <f>$E$3+F130</f>
        <v>0.13824931524924944</v>
      </c>
      <c r="F130" s="26">
        <f>IF($E$4="Yes",D130*$E$5,D130)</f>
        <v>9.614931524924944E-2</v>
      </c>
      <c r="G130" s="25">
        <f>VLOOKUP(A130,'[1]10-year CDS Spreads'!$A$2:$D$158,4,FALSE)</f>
        <v>7.6600000000000001E-2</v>
      </c>
      <c r="H130" s="26">
        <f>IF(I130="NA","NA",$E$3+I130)</f>
        <v>0.15734962544392148</v>
      </c>
      <c r="I130" s="31">
        <f>IF(G130="NA","NA",G130*$E$5)</f>
        <v>0.11524962544392148</v>
      </c>
    </row>
    <row r="131" spans="1:9" ht="15.75" hidden="1">
      <c r="A131" s="30" t="str">
        <f>'[1]Sovereign Ratings (Moody''s,S&amp;P)'!A125</f>
        <v>Serbia</v>
      </c>
      <c r="B131" s="29" t="str">
        <f>VLOOKUP(A131,'[1]Regional lookup table'!$A$2:$B$162,2,FALSE)</f>
        <v>Eastern Europe &amp; Russia</v>
      </c>
      <c r="C131" s="28" t="str">
        <f>VLOOKUP(A131,'[1]Sovereign Ratings (Moody''s,S&amp;P)'!$A$2:$D$158,4,FALSE)</f>
        <v>Ba2</v>
      </c>
      <c r="D131" s="27">
        <f>VLOOKUP(C131,$J$9:$K$31,2,FALSE)/10000</f>
        <v>2.9583549245296346E-2</v>
      </c>
      <c r="E131" s="27">
        <f>$E$3+F131</f>
        <v>8.6610352086451819E-2</v>
      </c>
      <c r="F131" s="26">
        <f>IF($E$4="Yes",D131*$E$5,D131)</f>
        <v>4.4510352086451821E-2</v>
      </c>
      <c r="G131" s="25">
        <f>VLOOKUP(A131,'[1]10-year CDS Spreads'!$A$2:$D$158,4,FALSE)</f>
        <v>2.1299999999999999E-2</v>
      </c>
      <c r="H131" s="26">
        <f>IF(I131="NA","NA",$E$3+I131)</f>
        <v>7.4147219607774512E-2</v>
      </c>
      <c r="I131" s="31">
        <f>IF(G131="NA","NA",G131*$E$5)</f>
        <v>3.2047219607774506E-2</v>
      </c>
    </row>
    <row r="132" spans="1:9" ht="15.75" hidden="1">
      <c r="A132" s="30" t="str">
        <f>'[1]Sovereign Ratings (Moody''s,S&amp;P)'!A126</f>
        <v>Sharjah</v>
      </c>
      <c r="B132" s="29" t="str">
        <f>VLOOKUP(A132,'[1]Regional lookup table'!$A$2:$B$162,2,FALSE)</f>
        <v>Middle East</v>
      </c>
      <c r="C132" s="28" t="str">
        <f>VLOOKUP(A132,'[1]Sovereign Ratings (Moody''s,S&amp;P)'!$A$2:$D$158,4,FALSE)</f>
        <v>Ba1</v>
      </c>
      <c r="D132" s="27">
        <f>VLOOKUP(C132,$J$9:$K$31,2,FALSE)/10000</f>
        <v>2.4614437458000481E-2</v>
      </c>
      <c r="E132" s="27">
        <f>$E$3+F132</f>
        <v>7.913400388443062E-2</v>
      </c>
      <c r="F132" s="26">
        <f>IF($E$4="Yes",D132*$E$5,D132)</f>
        <v>3.7034003884430629E-2</v>
      </c>
      <c r="G132" s="25" t="e">
        <f>VLOOKUP(A132,'[1]10-year CDS Spreads'!$A$2:$D$158,4,FALSE)</f>
        <v>#N/A</v>
      </c>
      <c r="H132" s="26" t="e">
        <f>IF(I132="NA","NA",$E$3+I132)</f>
        <v>#N/A</v>
      </c>
      <c r="I132" s="31" t="e">
        <f>IF(G132="NA","NA",G132*$E$5)</f>
        <v>#N/A</v>
      </c>
    </row>
    <row r="133" spans="1:9" ht="15.75" hidden="1">
      <c r="A133" s="30" t="str">
        <f>'[1]Sovereign Ratings (Moody''s,S&amp;P)'!A127</f>
        <v>Singapore</v>
      </c>
      <c r="B133" s="29" t="str">
        <f>VLOOKUP(A133,'[1]Regional lookup table'!$A$2:$B$162,2,FALSE)</f>
        <v>Asia</v>
      </c>
      <c r="C133" s="28" t="str">
        <f>VLOOKUP(A133,'[1]Sovereign Ratings (Moody''s,S&amp;P)'!$A$2:$D$158,4,FALSE)</f>
        <v>Aaa</v>
      </c>
      <c r="D133" s="27">
        <f>VLOOKUP(C133,$J$9:$K$31,2,FALSE)/10000</f>
        <v>0</v>
      </c>
      <c r="E133" s="27">
        <f>$E$3+F133</f>
        <v>4.2099999999999999E-2</v>
      </c>
      <c r="F133" s="26">
        <f>IF($E$4="Yes",D133*$E$5,D133)</f>
        <v>0</v>
      </c>
      <c r="G133" s="25" t="e">
        <f>VLOOKUP(A133,'[1]10-year CDS Spreads'!$A$2:$D$158,4,FALSE)</f>
        <v>#N/A</v>
      </c>
      <c r="H133" s="26" t="e">
        <f>IF(I133="NA","NA",$E$3+I133)</f>
        <v>#N/A</v>
      </c>
      <c r="I133" s="31" t="e">
        <f>IF(G133="NA","NA",G133*$E$5)</f>
        <v>#N/A</v>
      </c>
    </row>
    <row r="134" spans="1:9" ht="15.75" hidden="1">
      <c r="A134" s="30" t="str">
        <f>'[1]Sovereign Ratings (Moody''s,S&amp;P)'!A128</f>
        <v>Slovakia</v>
      </c>
      <c r="B134" s="29" t="str">
        <f>VLOOKUP(A134,'[1]Regional lookup table'!$A$2:$B$162,2,FALSE)</f>
        <v>Eastern Europe &amp; Russia</v>
      </c>
      <c r="C134" s="28" t="str">
        <f>VLOOKUP(A134,'[1]Sovereign Ratings (Moody''s,S&amp;P)'!$A$2:$D$158,4,FALSE)</f>
        <v>A3</v>
      </c>
      <c r="D134" s="27">
        <f>VLOOKUP(C134,$J$9:$K$31,2,FALSE)/10000</f>
        <v>1.1787195402422766E-2</v>
      </c>
      <c r="E134" s="27">
        <f>$E$3+F134</f>
        <v>5.9834593409445649E-2</v>
      </c>
      <c r="F134" s="26">
        <f>IF($E$4="Yes",D134*$E$5,D134)</f>
        <v>1.7734593409445651E-2</v>
      </c>
      <c r="G134" s="25">
        <f>VLOOKUP(A134,'[1]10-year CDS Spreads'!$A$2:$D$158,4,FALSE)</f>
        <v>4.4000000000000003E-3</v>
      </c>
      <c r="H134" s="26">
        <f>IF(I134="NA","NA",$E$3+I134)</f>
        <v>4.8720082923671727E-2</v>
      </c>
      <c r="I134" s="31">
        <f>IF(G134="NA","NA",G134*$E$5)</f>
        <v>6.6200829236717296E-3</v>
      </c>
    </row>
    <row r="135" spans="1:9" ht="15.75" hidden="1">
      <c r="A135" s="30" t="str">
        <f>'[1]Sovereign Ratings (Moody''s,S&amp;P)'!A129</f>
        <v>Slovenia</v>
      </c>
      <c r="B135" s="29" t="str">
        <f>VLOOKUP(A135,'[1]Regional lookup table'!$A$2:$B$162,2,FALSE)</f>
        <v>Eastern Europe &amp; Russia</v>
      </c>
      <c r="C135" s="28" t="str">
        <f>VLOOKUP(A135,'[1]Sovereign Ratings (Moody''s,S&amp;P)'!$A$2:$D$158,4,FALSE)</f>
        <v>A3</v>
      </c>
      <c r="D135" s="27">
        <f>VLOOKUP(C135,$J$9:$K$31,2,FALSE)/10000</f>
        <v>1.1787195402422766E-2</v>
      </c>
      <c r="E135" s="27">
        <f>$E$3+F135</f>
        <v>5.9834593409445649E-2</v>
      </c>
      <c r="F135" s="26">
        <f>IF($E$4="Yes",D135*$E$5,D135)</f>
        <v>1.7734593409445651E-2</v>
      </c>
      <c r="G135" s="25">
        <f>VLOOKUP(A135,'[1]10-year CDS Spreads'!$A$2:$D$158,4,FALSE)</f>
        <v>5.3E-3</v>
      </c>
      <c r="H135" s="26">
        <f>IF(I135="NA","NA",$E$3+I135)</f>
        <v>5.0074190794422761E-2</v>
      </c>
      <c r="I135" s="31">
        <f>IF(G135="NA","NA",G135*$E$5)</f>
        <v>7.9741907944227645E-3</v>
      </c>
    </row>
    <row r="136" spans="1:9" ht="15.75" hidden="1">
      <c r="A136" s="30" t="str">
        <f>'[1]Sovereign Ratings (Moody''s,S&amp;P)'!A130</f>
        <v>Solomon Islands</v>
      </c>
      <c r="B136" s="29" t="str">
        <f>VLOOKUP(A136,'[1]Regional lookup table'!$A$2:$B$162,2,FALSE)</f>
        <v>Asia</v>
      </c>
      <c r="C136" s="28" t="str">
        <f>VLOOKUP(A136,'[1]Sovereign Ratings (Moody''s,S&amp;P)'!$A$2:$D$158,4,FALSE)</f>
        <v>Caa1</v>
      </c>
      <c r="D136" s="27">
        <f>VLOOKUP(C136,$J$9:$K$31,2,FALSE)/10000</f>
        <v>7.3727751634761987E-2</v>
      </c>
      <c r="E136" s="27">
        <f>$E$3+F136</f>
        <v>0.15302814309045415</v>
      </c>
      <c r="F136" s="26">
        <f>IF($E$4="Yes",D136*$E$5,D136)</f>
        <v>0.11092814309045415</v>
      </c>
      <c r="G136" s="25" t="e">
        <f>VLOOKUP(A136,'[1]10-year CDS Spreads'!$A$2:$D$158,4,FALSE)</f>
        <v>#N/A</v>
      </c>
      <c r="H136" s="26" t="e">
        <f>IF(I136="NA","NA",$E$3+I136)</f>
        <v>#N/A</v>
      </c>
      <c r="I136" s="31" t="e">
        <f>IF(G136="NA","NA",G136*$E$5)</f>
        <v>#N/A</v>
      </c>
    </row>
    <row r="137" spans="1:9" ht="15.75" hidden="1">
      <c r="A137" s="30" t="str">
        <f>'[1]Sovereign Ratings (Moody''s,S&amp;P)'!A131</f>
        <v>South Africa</v>
      </c>
      <c r="B137" s="29" t="str">
        <f>VLOOKUP(A137,'[1]Regional lookup table'!$A$2:$B$162,2,FALSE)</f>
        <v>Africa</v>
      </c>
      <c r="C137" s="28" t="str">
        <f>VLOOKUP(A137,'[1]Sovereign Ratings (Moody''s,S&amp;P)'!$A$2:$D$158,4,FALSE)</f>
        <v>Ba2</v>
      </c>
      <c r="D137" s="27">
        <f>VLOOKUP(C137,$J$9:$K$31,2,FALSE)/10000</f>
        <v>2.9583549245296346E-2</v>
      </c>
      <c r="E137" s="27">
        <f>$E$3+F137</f>
        <v>8.6610352086451819E-2</v>
      </c>
      <c r="F137" s="26">
        <f>IF($E$4="Yes",D137*$E$5,D137)</f>
        <v>4.4510352086451821E-2</v>
      </c>
      <c r="G137" s="25">
        <f>VLOOKUP(A137,'[1]10-year CDS Spreads'!$A$2:$D$158,4,FALSE)</f>
        <v>2.8399999999999998E-2</v>
      </c>
      <c r="H137" s="26">
        <f>IF(I137="NA","NA",$E$3+I137)</f>
        <v>8.4829626143699349E-2</v>
      </c>
      <c r="I137" s="31">
        <f>IF(G137="NA","NA",G137*$E$5)</f>
        <v>4.2729626143699344E-2</v>
      </c>
    </row>
    <row r="138" spans="1:9" ht="15.75" hidden="1">
      <c r="A138" s="30" t="str">
        <f>'[1]Sovereign Ratings (Moody''s,S&amp;P)'!A132</f>
        <v>Spain</v>
      </c>
      <c r="B138" s="29" t="str">
        <f>VLOOKUP(A138,'[1]Regional lookup table'!$A$2:$B$162,2,FALSE)</f>
        <v>Western Europe</v>
      </c>
      <c r="C138" s="28" t="str">
        <f>VLOOKUP(A138,'[1]Sovereign Ratings (Moody''s,S&amp;P)'!$A$2:$D$158,4,FALSE)</f>
        <v>Baa1</v>
      </c>
      <c r="D138" s="27">
        <f>VLOOKUP(C138,$J$9:$K$31,2,FALSE)/10000</f>
        <v>1.5716260536563685E-2</v>
      </c>
      <c r="E138" s="27">
        <f>$E$3+F138</f>
        <v>6.5746124545927528E-2</v>
      </c>
      <c r="F138" s="26">
        <f>IF($E$4="Yes",D138*$E$5,D138)</f>
        <v>2.3646124545927533E-2</v>
      </c>
      <c r="G138" s="25">
        <f>VLOOKUP(A138,'[1]10-year CDS Spreads'!$A$2:$D$158,4,FALSE)</f>
        <v>4.7000000000000002E-3</v>
      </c>
      <c r="H138" s="26">
        <f>IF(I138="NA","NA",$E$3+I138)</f>
        <v>4.9171452213922072E-2</v>
      </c>
      <c r="I138" s="31">
        <f>IF(G138="NA","NA",G138*$E$5)</f>
        <v>7.0714522139220751E-3</v>
      </c>
    </row>
    <row r="139" spans="1:9" ht="15.75" hidden="1">
      <c r="A139" s="30" t="str">
        <f>'[1]Sovereign Ratings (Moody''s,S&amp;P)'!A133</f>
        <v>Sri Lanka</v>
      </c>
      <c r="B139" s="29" t="str">
        <f>VLOOKUP(A139,'[1]Regional lookup table'!$A$2:$B$162,2,FALSE)</f>
        <v>Asia</v>
      </c>
      <c r="C139" s="28" t="str">
        <f>VLOOKUP(A139,'[1]Sovereign Ratings (Moody''s,S&amp;P)'!$A$2:$D$158,4,FALSE)</f>
        <v>Ca</v>
      </c>
      <c r="D139" s="27">
        <f>VLOOKUP(C139,$J$9:$K$31,2,FALSE)/10000</f>
        <v>0.11798751476346708</v>
      </c>
      <c r="E139" s="27">
        <f>$E$3+F139</f>
        <v>0.21961980265729422</v>
      </c>
      <c r="F139" s="26">
        <f>IF($E$4="Yes",D139*$E$5,D139)</f>
        <v>0.17751980265729422</v>
      </c>
      <c r="G139" s="25">
        <f>VLOOKUP(A139,'[1]10-year CDS Spreads'!$A$2:$D$158,4,FALSE)</f>
        <v>4.6899999999999997E-2</v>
      </c>
      <c r="H139" s="26">
        <f>IF(I139="NA","NA",$E$3+I139)</f>
        <v>0.1126640657091373</v>
      </c>
      <c r="I139" s="31">
        <f>IF(G139="NA","NA",G139*$E$5)</f>
        <v>7.05640657091373E-2</v>
      </c>
    </row>
    <row r="140" spans="1:9" ht="15.75" hidden="1">
      <c r="A140" s="30" t="str">
        <f>'[1]Sovereign Ratings (Moody''s,S&amp;P)'!A134</f>
        <v>St. Maarten</v>
      </c>
      <c r="B140" s="29" t="str">
        <f>VLOOKUP(A140,'[1]Regional lookup table'!$A$2:$B$162,2,FALSE)</f>
        <v>Caribbean</v>
      </c>
      <c r="C140" s="28" t="str">
        <f>VLOOKUP(A140,'[1]Sovereign Ratings (Moody''s,S&amp;P)'!$A$2:$D$158,4,FALSE)</f>
        <v>Ba2</v>
      </c>
      <c r="D140" s="27">
        <f>VLOOKUP(C140,$J$9:$K$31,2,FALSE)/10000</f>
        <v>2.9583549245296346E-2</v>
      </c>
      <c r="E140" s="27">
        <f>$E$3+F140</f>
        <v>8.6610352086451819E-2</v>
      </c>
      <c r="F140" s="26">
        <f>IF($E$4="Yes",D140*$E$5,D140)</f>
        <v>4.4510352086451821E-2</v>
      </c>
      <c r="G140" s="25" t="e">
        <f>VLOOKUP(A140,'[1]10-year CDS Spreads'!$A$2:$D$158,4,FALSE)</f>
        <v>#N/A</v>
      </c>
      <c r="H140" s="26" t="e">
        <f>IF(I140="NA","NA",$E$3+I140)</f>
        <v>#N/A</v>
      </c>
      <c r="I140" s="31" t="e">
        <f>IF(G140="NA","NA",G140*$E$5)</f>
        <v>#N/A</v>
      </c>
    </row>
    <row r="141" spans="1:9" ht="15.75" hidden="1">
      <c r="A141" s="30" t="str">
        <f>'[1]Sovereign Ratings (Moody''s,S&amp;P)'!A135</f>
        <v>St. Vincent &amp; the Grenadines</v>
      </c>
      <c r="B141" s="29" t="str">
        <f>VLOOKUP(A141,'[1]Regional lookup table'!$A$2:$B$162,2,FALSE)</f>
        <v>Caribbean</v>
      </c>
      <c r="C141" s="28" t="str">
        <f>VLOOKUP(A141,'[1]Sovereign Ratings (Moody''s,S&amp;P)'!$A$2:$D$158,4,FALSE)</f>
        <v>B3</v>
      </c>
      <c r="D141" s="27">
        <f>VLOOKUP(C141,$J$9:$K$31,2,FALSE)/10000</f>
        <v>6.3905088799409676E-2</v>
      </c>
      <c r="E141" s="27">
        <f>$E$3+F141</f>
        <v>0.13824931524924944</v>
      </c>
      <c r="F141" s="26">
        <f>IF($E$4="Yes",D141*$E$5,D141)</f>
        <v>9.614931524924944E-2</v>
      </c>
      <c r="G141" s="25" t="e">
        <f>VLOOKUP(A141,'[1]10-year CDS Spreads'!$A$2:$D$158,4,FALSE)</f>
        <v>#N/A</v>
      </c>
      <c r="H141" s="26" t="e">
        <f>IF(I141="NA","NA",$E$3+I141)</f>
        <v>#N/A</v>
      </c>
      <c r="I141" s="31" t="e">
        <f>IF(G141="NA","NA",G141*$E$5)</f>
        <v>#N/A</v>
      </c>
    </row>
    <row r="142" spans="1:9" ht="15.75" hidden="1">
      <c r="A142" s="30" t="str">
        <f>'[1]Sovereign Ratings (Moody''s,S&amp;P)'!A136</f>
        <v>Suriname</v>
      </c>
      <c r="B142" s="29" t="str">
        <f>VLOOKUP(A142,'[1]Regional lookup table'!$A$2:$B$162,2,FALSE)</f>
        <v>Central and South America</v>
      </c>
      <c r="C142" s="28" t="str">
        <f>VLOOKUP(A142,'[1]Sovereign Ratings (Moody''s,S&amp;P)'!$A$2:$D$158,4,FALSE)</f>
        <v>Caa1</v>
      </c>
      <c r="D142" s="27">
        <f>VLOOKUP(C142,$J$9:$K$31,2,FALSE)/10000</f>
        <v>7.3727751634761987E-2</v>
      </c>
      <c r="E142" s="27">
        <f>$E$3+F142</f>
        <v>0.15302814309045415</v>
      </c>
      <c r="F142" s="26">
        <f>IF($E$4="Yes",D142*$E$5,D142)</f>
        <v>0.11092814309045415</v>
      </c>
      <c r="G142" s="25" t="e">
        <f>VLOOKUP(A142,'[1]10-year CDS Spreads'!$A$2:$D$158,4,FALSE)</f>
        <v>#N/A</v>
      </c>
      <c r="H142" s="26" t="e">
        <f>IF(I142="NA","NA",$E$3+I142)</f>
        <v>#N/A</v>
      </c>
      <c r="I142" s="31" t="e">
        <f>IF(G142="NA","NA",G142*$E$5)</f>
        <v>#N/A</v>
      </c>
    </row>
    <row r="143" spans="1:9" ht="15.75" hidden="1">
      <c r="A143" s="30" t="str">
        <f>'[1]Sovereign Ratings (Moody''s,S&amp;P)'!A137</f>
        <v>Swaziland</v>
      </c>
      <c r="B143" s="29" t="str">
        <f>VLOOKUP(A143,'[1]Regional lookup table'!$A$2:$B$162,2,FALSE)</f>
        <v>Africa</v>
      </c>
      <c r="C143" s="28" t="str">
        <f>VLOOKUP(A143,'[1]Sovereign Ratings (Moody''s,S&amp;P)'!$A$2:$D$158,4,FALSE)</f>
        <v>B2</v>
      </c>
      <c r="D143" s="27">
        <f>VLOOKUP(C143,$J$9:$K$31,2,FALSE)/10000</f>
        <v>5.4082425964057379E-2</v>
      </c>
      <c r="E143" s="27">
        <f>$E$3+F143</f>
        <v>0.12347048740804473</v>
      </c>
      <c r="F143" s="26">
        <f>IF($E$4="Yes",D143*$E$5,D143)</f>
        <v>8.1370487408044728E-2</v>
      </c>
      <c r="G143" s="25" t="e">
        <f>VLOOKUP(A143,'[1]10-year CDS Spreads'!$A$2:$D$158,4,FALSE)</f>
        <v>#N/A</v>
      </c>
      <c r="H143" s="26" t="e">
        <f>IF(I143="NA","NA",$E$3+I143)</f>
        <v>#N/A</v>
      </c>
      <c r="I143" s="31" t="e">
        <f>IF(G143="NA","NA",G143*$E$5)</f>
        <v>#N/A</v>
      </c>
    </row>
    <row r="144" spans="1:9" ht="15.75" hidden="1">
      <c r="A144" s="30" t="str">
        <f>'[1]Sovereign Ratings (Moody''s,S&amp;P)'!A138</f>
        <v>Sweden</v>
      </c>
      <c r="B144" s="29" t="str">
        <f>VLOOKUP(A144,'[1]Regional lookup table'!$A$2:$B$162,2,FALSE)</f>
        <v>Western Europe</v>
      </c>
      <c r="C144" s="28" t="str">
        <f>VLOOKUP(A144,'[1]Sovereign Ratings (Moody''s,S&amp;P)'!$A$2:$D$158,4,FALSE)</f>
        <v>Aaa</v>
      </c>
      <c r="D144" s="27">
        <f>VLOOKUP(C144,$J$9:$K$31,2,FALSE)/10000</f>
        <v>0</v>
      </c>
      <c r="E144" s="27">
        <f>$E$3+F144</f>
        <v>4.2099999999999999E-2</v>
      </c>
      <c r="F144" s="26">
        <f>IF($E$4="Yes",D144*$E$5,D144)</f>
        <v>0</v>
      </c>
      <c r="G144" s="25">
        <f>VLOOKUP(A144,'[1]10-year CDS Spreads'!$A$2:$D$158,4,FALSE)</f>
        <v>8.0000000000000015E-4</v>
      </c>
      <c r="H144" s="26">
        <f>IF(I144="NA","NA",$E$3+I144)</f>
        <v>4.3303651440667584E-2</v>
      </c>
      <c r="I144" s="31">
        <f>IF(G144="NA","NA",G144*$E$5)</f>
        <v>1.2036514406675875E-3</v>
      </c>
    </row>
    <row r="145" spans="1:9" ht="15.75" hidden="1">
      <c r="A145" s="30" t="str">
        <f>'[1]Sovereign Ratings (Moody''s,S&amp;P)'!A139</f>
        <v>Switzerland</v>
      </c>
      <c r="B145" s="29" t="str">
        <f>VLOOKUP(A145,'[1]Regional lookup table'!$A$2:$B$162,2,FALSE)</f>
        <v>Western Europe</v>
      </c>
      <c r="C145" s="28" t="str">
        <f>VLOOKUP(A145,'[1]Sovereign Ratings (Moody''s,S&amp;P)'!$A$2:$D$158,4,FALSE)</f>
        <v>Aaa</v>
      </c>
      <c r="D145" s="27">
        <f>VLOOKUP(C145,$J$9:$K$31,2,FALSE)/10000</f>
        <v>0</v>
      </c>
      <c r="E145" s="27">
        <f>$E$3+F145</f>
        <v>4.2099999999999999E-2</v>
      </c>
      <c r="F145" s="26">
        <f>IF($E$4="Yes",D145*$E$5,D145)</f>
        <v>0</v>
      </c>
      <c r="G145" s="25">
        <f>VLOOKUP(A145,'[1]10-year CDS Spreads'!$A$2:$D$158,4,FALSE)</f>
        <v>0</v>
      </c>
      <c r="H145" s="26">
        <f>IF(I145="NA","NA",$E$3+I145)</f>
        <v>4.2099999999999999E-2</v>
      </c>
      <c r="I145" s="31">
        <f>IF(G145="NA","NA",G145*$E$5)</f>
        <v>0</v>
      </c>
    </row>
    <row r="146" spans="1:9" ht="15.75" hidden="1">
      <c r="A146" s="30" t="str">
        <f>'[1]Sovereign Ratings (Moody''s,S&amp;P)'!A140</f>
        <v>Taiwan</v>
      </c>
      <c r="B146" s="29" t="str">
        <f>VLOOKUP(A146,'[1]Regional lookup table'!$A$2:$B$162,2,FALSE)</f>
        <v>Asia</v>
      </c>
      <c r="C146" s="28" t="str">
        <f>VLOOKUP(A146,'[1]Sovereign Ratings (Moody''s,S&amp;P)'!$A$2:$D$158,4,FALSE)</f>
        <v>Aa3</v>
      </c>
      <c r="D146" s="27">
        <f>VLOOKUP(C146,$J$9:$K$31,2,FALSE)/10000</f>
        <v>5.8935977012113828E-3</v>
      </c>
      <c r="E146" s="27">
        <f>$E$3+F146</f>
        <v>5.0967296704722824E-2</v>
      </c>
      <c r="F146" s="26">
        <f>IF($E$4="Yes",D146*$E$5,D146)</f>
        <v>8.8672967047228254E-3</v>
      </c>
      <c r="G146" s="25" t="e">
        <f>VLOOKUP(A146,'[1]10-year CDS Spreads'!$A$2:$D$158,4,FALSE)</f>
        <v>#N/A</v>
      </c>
      <c r="H146" s="26" t="e">
        <f>IF(I146="NA","NA",$E$3+I146)</f>
        <v>#N/A</v>
      </c>
      <c r="I146" s="31" t="e">
        <f>IF(G146="NA","NA",G146*$E$5)</f>
        <v>#N/A</v>
      </c>
    </row>
    <row r="147" spans="1:9" ht="15.75" hidden="1">
      <c r="A147" s="30" t="str">
        <f>'[1]Sovereign Ratings (Moody''s,S&amp;P)'!A141</f>
        <v>Tajikistan</v>
      </c>
      <c r="B147" s="29" t="str">
        <f>VLOOKUP(A147,'[1]Regional lookup table'!$A$2:$B$162,2,FALSE)</f>
        <v>Eastern Europe &amp; Russia</v>
      </c>
      <c r="C147" s="28" t="str">
        <f>VLOOKUP(A147,'[1]Sovereign Ratings (Moody''s,S&amp;P)'!$A$2:$D$158,4,FALSE)</f>
        <v>B3</v>
      </c>
      <c r="D147" s="27">
        <f>VLOOKUP(C147,$J$9:$K$31,2,FALSE)/10000</f>
        <v>6.3905088799409676E-2</v>
      </c>
      <c r="E147" s="27">
        <f>$E$3+F147</f>
        <v>0.13824931524924944</v>
      </c>
      <c r="F147" s="26">
        <f>IF($E$4="Yes",D147*$E$5,D147)</f>
        <v>9.614931524924944E-2</v>
      </c>
      <c r="G147" s="25" t="e">
        <f>VLOOKUP(A147,'[1]10-year CDS Spreads'!$A$2:$D$158,4,FALSE)</f>
        <v>#N/A</v>
      </c>
      <c r="H147" s="26" t="e">
        <f>IF(I147="NA","NA",$E$3+I147)</f>
        <v>#N/A</v>
      </c>
      <c r="I147" s="31" t="e">
        <f>IF(G147="NA","NA",G147*$E$5)</f>
        <v>#N/A</v>
      </c>
    </row>
    <row r="148" spans="1:9" ht="15.75" hidden="1">
      <c r="A148" s="30" t="str">
        <f>'[1]Sovereign Ratings (Moody''s,S&amp;P)'!A142</f>
        <v>Tanzania</v>
      </c>
      <c r="B148" s="29" t="str">
        <f>VLOOKUP(A148,'[1]Regional lookup table'!$A$2:$B$162,2,FALSE)</f>
        <v>Africa</v>
      </c>
      <c r="C148" s="28" t="str">
        <f>VLOOKUP(A148,'[1]Sovereign Ratings (Moody''s,S&amp;P)'!$A$2:$D$158,4,FALSE)</f>
        <v>B1</v>
      </c>
      <c r="D148" s="27">
        <f>VLOOKUP(C148,$J$9:$K$31,2,FALSE)/10000</f>
        <v>4.4259763128705075E-2</v>
      </c>
      <c r="E148" s="27">
        <f>$E$3+F148</f>
        <v>0.10869165956684003</v>
      </c>
      <c r="F148" s="26">
        <f>IF($E$4="Yes",D148*$E$5,D148)</f>
        <v>6.6591659566840031E-2</v>
      </c>
      <c r="G148" s="25" t="e">
        <f>VLOOKUP(A148,'[1]10-year CDS Spreads'!$A$2:$D$158,4,FALSE)</f>
        <v>#N/A</v>
      </c>
      <c r="H148" s="26" t="e">
        <f>IF(I148="NA","NA",$E$3+I148)</f>
        <v>#N/A</v>
      </c>
      <c r="I148" s="31" t="e">
        <f>IF(G148="NA","NA",G148*$E$5)</f>
        <v>#N/A</v>
      </c>
    </row>
    <row r="149" spans="1:9" ht="15.75" hidden="1">
      <c r="A149" s="30" t="str">
        <f>'[1]Sovereign Ratings (Moody''s,S&amp;P)'!A143</f>
        <v>Thailand</v>
      </c>
      <c r="B149" s="29" t="str">
        <f>VLOOKUP(A149,'[1]Regional lookup table'!$A$2:$B$162,2,FALSE)</f>
        <v>Asia</v>
      </c>
      <c r="C149" s="28" t="str">
        <f>VLOOKUP(A149,'[1]Sovereign Ratings (Moody''s,S&amp;P)'!$A$2:$D$158,4,FALSE)</f>
        <v>Baa1</v>
      </c>
      <c r="D149" s="27">
        <f>VLOOKUP(C149,$J$9:$K$31,2,FALSE)/10000</f>
        <v>1.5716260536563685E-2</v>
      </c>
      <c r="E149" s="27">
        <f>$E$3+F149</f>
        <v>6.5746124545927528E-2</v>
      </c>
      <c r="F149" s="26">
        <f>IF($E$4="Yes",D149*$E$5,D149)</f>
        <v>2.3646124545927533E-2</v>
      </c>
      <c r="G149" s="25">
        <f>VLOOKUP(A149,'[1]10-year CDS Spreads'!$A$2:$D$158,4,FALSE)</f>
        <v>5.4999999999999997E-3</v>
      </c>
      <c r="H149" s="26">
        <f>IF(I149="NA","NA",$E$3+I149)</f>
        <v>5.0375103654589658E-2</v>
      </c>
      <c r="I149" s="31">
        <f>IF(G149="NA","NA",G149*$E$5)</f>
        <v>8.2751036545896609E-3</v>
      </c>
    </row>
    <row r="150" spans="1:9" ht="15.75" hidden="1">
      <c r="A150" s="30" t="str">
        <f>'[1]Sovereign Ratings (Moody''s,S&amp;P)'!A144</f>
        <v>Togo</v>
      </c>
      <c r="B150" s="29" t="str">
        <f>VLOOKUP(A150,'[1]Regional lookup table'!$A$2:$B$162,2,FALSE)</f>
        <v>Africa</v>
      </c>
      <c r="C150" s="28" t="str">
        <f>VLOOKUP(A150,'[1]Sovereign Ratings (Moody''s,S&amp;P)'!$A$2:$D$158,4,FALSE)</f>
        <v>B3</v>
      </c>
      <c r="D150" s="27">
        <f>VLOOKUP(C150,$J$9:$K$31,2,FALSE)/10000</f>
        <v>6.3905088799409676E-2</v>
      </c>
      <c r="E150" s="27">
        <f>$E$3+F150</f>
        <v>0.13824931524924944</v>
      </c>
      <c r="F150" s="26">
        <f>IF($E$4="Yes",D150*$E$5,D150)</f>
        <v>9.614931524924944E-2</v>
      </c>
      <c r="G150" s="25" t="e">
        <f>VLOOKUP(A150,'[1]10-year CDS Spreads'!$A$2:$D$158,4,FALSE)</f>
        <v>#N/A</v>
      </c>
      <c r="H150" s="26" t="e">
        <f>IF(I150="NA","NA",$E$3+I150)</f>
        <v>#N/A</v>
      </c>
      <c r="I150" s="31" t="e">
        <f>IF(G150="NA","NA",G150*$E$5)</f>
        <v>#N/A</v>
      </c>
    </row>
    <row r="151" spans="1:9" ht="15.75" hidden="1">
      <c r="A151" s="30" t="str">
        <f>'[1]Sovereign Ratings (Moody''s,S&amp;P)'!A145</f>
        <v>Trinidad and Tobago</v>
      </c>
      <c r="B151" s="29" t="str">
        <f>VLOOKUP(A151,'[1]Regional lookup table'!$A$2:$B$162,2,FALSE)</f>
        <v>Caribbean</v>
      </c>
      <c r="C151" s="28" t="str">
        <f>VLOOKUP(A151,'[1]Sovereign Ratings (Moody''s,S&amp;P)'!$A$2:$D$158,4,FALSE)</f>
        <v>Ba2</v>
      </c>
      <c r="D151" s="27">
        <f>VLOOKUP(C151,$J$9:$K$31,2,FALSE)/10000</f>
        <v>2.9583549245296346E-2</v>
      </c>
      <c r="E151" s="27">
        <f>$E$3+F151</f>
        <v>8.6610352086451819E-2</v>
      </c>
      <c r="F151" s="26">
        <f>IF($E$4="Yes",D151*$E$5,D151)</f>
        <v>4.4510352086451821E-2</v>
      </c>
      <c r="G151" s="25" t="e">
        <f>VLOOKUP(A151,'[1]10-year CDS Spreads'!$A$2:$D$158,4,FALSE)</f>
        <v>#N/A</v>
      </c>
      <c r="H151" s="26" t="e">
        <f>IF(I151="NA","NA",$E$3+I151)</f>
        <v>#N/A</v>
      </c>
      <c r="I151" s="31" t="e">
        <f>IF(G151="NA","NA",G151*$E$5)</f>
        <v>#N/A</v>
      </c>
    </row>
    <row r="152" spans="1:9" ht="15.75" hidden="1">
      <c r="A152" s="30" t="str">
        <f>'[1]Sovereign Ratings (Moody''s,S&amp;P)'!A146</f>
        <v>Tunisia</v>
      </c>
      <c r="B152" s="29" t="str">
        <f>VLOOKUP(A152,'[1]Regional lookup table'!$A$2:$B$162,2,FALSE)</f>
        <v>Africa</v>
      </c>
      <c r="C152" s="28" t="str">
        <f>VLOOKUP(A152,'[1]Sovereign Ratings (Moody''s,S&amp;P)'!$A$2:$D$158,4,FALSE)</f>
        <v>Caa1</v>
      </c>
      <c r="D152" s="27">
        <f>VLOOKUP(C152,$J$9:$K$31,2,FALSE)/10000</f>
        <v>7.3727751634761987E-2</v>
      </c>
      <c r="E152" s="27">
        <f>$E$3+F152</f>
        <v>0.15302814309045415</v>
      </c>
      <c r="F152" s="26">
        <f>IF($E$4="Yes",D152*$E$5,D152)</f>
        <v>0.11092814309045415</v>
      </c>
      <c r="G152" s="25">
        <f>VLOOKUP(A152,'[1]10-year CDS Spreads'!$A$2:$D$158,4,FALSE)</f>
        <v>7.2500000000000009E-2</v>
      </c>
      <c r="H152" s="26">
        <f>IF(I152="NA","NA",$E$3+I152)</f>
        <v>0.15118091181050008</v>
      </c>
      <c r="I152" s="31">
        <f>IF(G152="NA","NA",G152*$E$5)</f>
        <v>0.1090809118105001</v>
      </c>
    </row>
    <row r="153" spans="1:9" ht="15.75" hidden="1">
      <c r="A153" s="30" t="str">
        <f>'[1]Sovereign Ratings (Moody''s,S&amp;P)'!A147</f>
        <v>Turkey</v>
      </c>
      <c r="B153" s="29" t="str">
        <f>VLOOKUP(A153,'[1]Regional lookup table'!$A$2:$B$162,2,FALSE)</f>
        <v>Western Europe</v>
      </c>
      <c r="C153" s="28" t="str">
        <f>VLOOKUP(A153,'[1]Sovereign Ratings (Moody''s,S&amp;P)'!$A$2:$D$158,4,FALSE)</f>
        <v>B1</v>
      </c>
      <c r="D153" s="27">
        <f>VLOOKUP(C153,$J$9:$K$31,2,FALSE)/10000</f>
        <v>4.4259763128705075E-2</v>
      </c>
      <c r="E153" s="27">
        <f>$E$3+F153</f>
        <v>0.10869165956684003</v>
      </c>
      <c r="F153" s="26">
        <f>IF($E$4="Yes",D153*$E$5,D153)</f>
        <v>6.6591659566840031E-2</v>
      </c>
      <c r="G153" s="25">
        <f>VLOOKUP(A153,'[1]10-year CDS Spreads'!$A$2:$D$158,4,FALSE)</f>
        <v>3.6299999999999999E-2</v>
      </c>
      <c r="H153" s="26">
        <f>IF(I153="NA","NA",$E$3+I153)</f>
        <v>9.6715684120291773E-2</v>
      </c>
      <c r="I153" s="31">
        <f>IF(G153="NA","NA",G153*$E$5)</f>
        <v>5.4615684120291767E-2</v>
      </c>
    </row>
    <row r="154" spans="1:9" ht="15.75" hidden="1">
      <c r="A154" s="30" t="str">
        <f>'[1]Sovereign Ratings (Moody''s,S&amp;P)'!A148</f>
        <v>Turks and Caicos Islands</v>
      </c>
      <c r="B154" s="29" t="str">
        <f>VLOOKUP(A154,'[1]Regional lookup table'!$A$2:$B$162,2,FALSE)</f>
        <v>Caribbean</v>
      </c>
      <c r="C154" s="28" t="str">
        <f>VLOOKUP(A154,'[1]Sovereign Ratings (Moody''s,S&amp;P)'!$A$2:$D$158,4,FALSE)</f>
        <v>Baa1</v>
      </c>
      <c r="D154" s="27">
        <f>VLOOKUP(C154,$J$9:$K$31,2,FALSE)/10000</f>
        <v>1.5716260536563685E-2</v>
      </c>
      <c r="E154" s="27">
        <f>$E$3+F154</f>
        <v>6.5746124545927528E-2</v>
      </c>
      <c r="F154" s="26">
        <f>IF($E$4="Yes",D154*$E$5,D154)</f>
        <v>2.3646124545927533E-2</v>
      </c>
      <c r="G154" s="25" t="e">
        <f>VLOOKUP(A154,'[1]10-year CDS Spreads'!$A$2:$D$158,4,FALSE)</f>
        <v>#N/A</v>
      </c>
      <c r="H154" s="26" t="e">
        <f>IF(I154="NA","NA",$E$3+I154)</f>
        <v>#N/A</v>
      </c>
      <c r="I154" s="31" t="e">
        <f>IF(G154="NA","NA",G154*$E$5)</f>
        <v>#N/A</v>
      </c>
    </row>
    <row r="155" spans="1:9" ht="15.75" hidden="1">
      <c r="A155" s="30" t="str">
        <f>'[1]Sovereign Ratings (Moody''s,S&amp;P)'!A149</f>
        <v>Uganda</v>
      </c>
      <c r="B155" s="29" t="str">
        <f>VLOOKUP(A155,'[1]Regional lookup table'!$A$2:$B$162,2,FALSE)</f>
        <v>Africa</v>
      </c>
      <c r="C155" s="28" t="str">
        <f>VLOOKUP(A155,'[1]Sovereign Ratings (Moody''s,S&amp;P)'!$A$2:$D$158,4,FALSE)</f>
        <v>B3</v>
      </c>
      <c r="D155" s="27">
        <f>VLOOKUP(C155,$J$9:$K$31,2,FALSE)/10000</f>
        <v>6.3905088799409676E-2</v>
      </c>
      <c r="E155" s="27">
        <f>$E$3+F155</f>
        <v>0.13824931524924944</v>
      </c>
      <c r="F155" s="26">
        <f>IF($E$4="Yes",D155*$E$5,D155)</f>
        <v>9.614931524924944E-2</v>
      </c>
      <c r="G155" s="25" t="e">
        <f>VLOOKUP(A155,'[1]10-year CDS Spreads'!$A$2:$D$158,4,FALSE)</f>
        <v>#N/A</v>
      </c>
      <c r="H155" s="26" t="e">
        <f>IF(I155="NA","NA",$E$3+I155)</f>
        <v>#N/A</v>
      </c>
      <c r="I155" s="31" t="e">
        <f>IF(G155="NA","NA",G155*$E$5)</f>
        <v>#N/A</v>
      </c>
    </row>
    <row r="156" spans="1:9" ht="15.75" hidden="1">
      <c r="A156" s="30" t="str">
        <f>'[1]Sovereign Ratings (Moody''s,S&amp;P)'!A150</f>
        <v>Ukraine</v>
      </c>
      <c r="B156" s="29" t="str">
        <f>VLOOKUP(A156,'[1]Regional lookup table'!$A$2:$B$162,2,FALSE)</f>
        <v>Eastern Europe &amp; Russia</v>
      </c>
      <c r="C156" s="28" t="str">
        <f>VLOOKUP(A156,'[1]Sovereign Ratings (Moody''s,S&amp;P)'!$A$2:$D$158,4,FALSE)</f>
        <v>Ca</v>
      </c>
      <c r="D156" s="27">
        <f>VLOOKUP(C156,$J$9:$K$31,2,FALSE)/10000</f>
        <v>0.11798751476346708</v>
      </c>
      <c r="E156" s="27">
        <f>$E$3+F156</f>
        <v>0.21961980265729422</v>
      </c>
      <c r="F156" s="26">
        <f>IF($E$4="Yes",D156*$E$5,D156)</f>
        <v>0.17751980265729422</v>
      </c>
      <c r="G156" s="25" t="str">
        <f>VLOOKUP(A156,'[1]10-year CDS Spreads'!$A$2:$D$158,4,FALSE)</f>
        <v>NA</v>
      </c>
      <c r="H156" s="26" t="str">
        <f>IF(I156="NA","NA",$E$3+I156)</f>
        <v>NA</v>
      </c>
      <c r="I156" s="31" t="str">
        <f>IF(G156="NA","NA",G156*$E$5)</f>
        <v>NA</v>
      </c>
    </row>
    <row r="157" spans="1:9" ht="15.75" hidden="1">
      <c r="A157" s="30" t="str">
        <f>'[1]Sovereign Ratings (Moody''s,S&amp;P)'!A151</f>
        <v>United Arab Emirates</v>
      </c>
      <c r="B157" s="29" t="str">
        <f>VLOOKUP(A157,'[1]Regional lookup table'!$A$2:$B$162,2,FALSE)</f>
        <v>Middle East</v>
      </c>
      <c r="C157" s="28" t="str">
        <f>VLOOKUP(A157,'[1]Sovereign Ratings (Moody''s,S&amp;P)'!$A$2:$D$158,4,FALSE)</f>
        <v>Aa2</v>
      </c>
      <c r="D157" s="27">
        <f>VLOOKUP(C157,$J$9:$K$31,2,FALSE)/10000</f>
        <v>4.8535510480564323E-3</v>
      </c>
      <c r="E157" s="27">
        <f>$E$3+F157</f>
        <v>4.9402479639183504E-2</v>
      </c>
      <c r="F157" s="26">
        <f>IF($E$4="Yes",D157*$E$5,D157)</f>
        <v>7.3024796391835027E-3</v>
      </c>
      <c r="G157" s="25" t="e">
        <f>VLOOKUP(A157,'[1]10-year CDS Spreads'!$A$2:$D$158,4,FALSE)</f>
        <v>#N/A</v>
      </c>
      <c r="H157" s="26" t="e">
        <f>IF(I157="NA","NA",$E$3+I157)</f>
        <v>#N/A</v>
      </c>
      <c r="I157" s="31" t="e">
        <f>IF(G157="NA","NA",G157*$E$5)</f>
        <v>#N/A</v>
      </c>
    </row>
    <row r="158" spans="1:9" ht="15.75" hidden="1">
      <c r="A158" s="30" t="str">
        <f>'[1]Sovereign Ratings (Moody''s,S&amp;P)'!A152</f>
        <v>United Kingdom</v>
      </c>
      <c r="B158" s="29" t="str">
        <f>VLOOKUP(A158,'[1]Regional lookup table'!$A$2:$B$162,2,FALSE)</f>
        <v>Western Europe</v>
      </c>
      <c r="C158" s="28" t="str">
        <f>VLOOKUP(A158,'[1]Sovereign Ratings (Moody''s,S&amp;P)'!$A$2:$D$158,4,FALSE)</f>
        <v>Aa3</v>
      </c>
      <c r="D158" s="27">
        <f>VLOOKUP(C158,$J$9:$K$31,2,FALSE)/10000</f>
        <v>5.8935977012113828E-3</v>
      </c>
      <c r="E158" s="27">
        <f>$E$3+F158</f>
        <v>5.0967296704722824E-2</v>
      </c>
      <c r="F158" s="26">
        <f>IF($E$4="Yes",D158*$E$5,D158)</f>
        <v>8.8672967047228254E-3</v>
      </c>
      <c r="G158" s="25">
        <f>VLOOKUP(A158,'[1]10-year CDS Spreads'!$A$2:$D$158,4,FALSE)</f>
        <v>2E-3</v>
      </c>
      <c r="H158" s="26">
        <f>IF(I158="NA","NA",$E$3+I158)</f>
        <v>4.5109128601668963E-2</v>
      </c>
      <c r="I158" s="31">
        <f>IF(G158="NA","NA",G158*$E$5)</f>
        <v>3.0091286016689679E-3</v>
      </c>
    </row>
    <row r="159" spans="1:9" ht="15.75" hidden="1">
      <c r="A159" s="30" t="str">
        <f>'[1]Sovereign Ratings (Moody''s,S&amp;P)'!A153</f>
        <v>United States</v>
      </c>
      <c r="B159" s="29" t="str">
        <f>VLOOKUP(A159,'[1]Regional lookup table'!$A$2:$B$162,2,FALSE)</f>
        <v>North America</v>
      </c>
      <c r="C159" s="28" t="str">
        <f>VLOOKUP(A159,'[1]Sovereign Ratings (Moody''s,S&amp;P)'!$A$2:$D$158,4,FALSE)</f>
        <v>Aa1</v>
      </c>
      <c r="D159" s="27">
        <f>VLOOKUP(C159,$J$9:$K$31,2,FALSE)/10000</f>
        <v>2.7000000000000001E-3</v>
      </c>
      <c r="E159" s="27">
        <f>$E$3+F159</f>
        <v>4.6162323612253107E-2</v>
      </c>
      <c r="F159" s="26">
        <f>IF($E$4="Yes",D159*$E$5,D159)</f>
        <v>4.0623236122531072E-3</v>
      </c>
      <c r="G159" s="25">
        <f>VLOOKUP(A159,'[1]10-year CDS Spreads'!$A$2:$D$158,4,FALSE)</f>
        <v>3.3E-3</v>
      </c>
      <c r="H159" s="26">
        <f>IF(I159="NA","NA",$E$3+I159)</f>
        <v>4.7065062192753797E-2</v>
      </c>
      <c r="I159" s="31">
        <f>IF(G159="NA","NA",G159*$E$5)</f>
        <v>4.9650621927537974E-3</v>
      </c>
    </row>
    <row r="160" spans="1:9" ht="15.75" hidden="1">
      <c r="A160" s="30" t="str">
        <f>'[1]Sovereign Ratings (Moody''s,S&amp;P)'!A154</f>
        <v>Uruguay</v>
      </c>
      <c r="B160" s="29" t="str">
        <f>VLOOKUP(A160,'[1]Regional lookup table'!$A$2:$B$162,2,FALSE)</f>
        <v>Central and South America</v>
      </c>
      <c r="C160" s="28" t="str">
        <f>VLOOKUP(A160,'[1]Sovereign Ratings (Moody''s,S&amp;P)'!$A$2:$D$158,4,FALSE)</f>
        <v>Baa1</v>
      </c>
      <c r="D160" s="27">
        <f>VLOOKUP(C160,$J$9:$K$31,2,FALSE)/10000</f>
        <v>1.5716260536563685E-2</v>
      </c>
      <c r="E160" s="27">
        <f>$E$3+F160</f>
        <v>6.5746124545927528E-2</v>
      </c>
      <c r="F160" s="26">
        <f>IF($E$4="Yes",D160*$E$5,D160)</f>
        <v>2.3646124545927533E-2</v>
      </c>
      <c r="G160" s="25">
        <f>VLOOKUP(A160,'[1]10-year CDS Spreads'!$A$2:$D$158,4,FALSE)</f>
        <v>1.0200000000000001E-2</v>
      </c>
      <c r="H160" s="24">
        <f>IF(I160="NA","NA",$E$3+I160)</f>
        <v>5.7446555868511738E-2</v>
      </c>
      <c r="I160" s="23">
        <f>IF(G160="NA","NA",G160*$E$5)</f>
        <v>1.5346555868511738E-2</v>
      </c>
    </row>
    <row r="161" spans="1:9" ht="15.75" hidden="1">
      <c r="A161" s="30" t="str">
        <f>'[1]Sovereign Ratings (Moody''s,S&amp;P)'!A155</f>
        <v>Uzbekistan</v>
      </c>
      <c r="B161" s="29" t="str">
        <f>VLOOKUP(A161,'[1]Regional lookup table'!$A$2:$B$162,2,FALSE)</f>
        <v>Eastern Europe &amp; Russia</v>
      </c>
      <c r="C161" s="28" t="str">
        <f>VLOOKUP(A161,'[1]Sovereign Ratings (Moody''s,S&amp;P)'!$A$2:$D$158,4,FALSE)</f>
        <v>Ba3</v>
      </c>
      <c r="D161" s="27">
        <f>VLOOKUP(C161,$J$9:$K$31,2,FALSE)/10000</f>
        <v>3.5361586207268286E-2</v>
      </c>
      <c r="E161" s="27">
        <f>$E$3+F161</f>
        <v>9.5303780228336937E-2</v>
      </c>
      <c r="F161" s="26">
        <f>IF($E$4="Yes",D161*$E$5,D161)</f>
        <v>5.3203780228336939E-2</v>
      </c>
      <c r="G161" s="25" t="e">
        <f>VLOOKUP(A161,'[1]10-year CDS Spreads'!$A$2:$D$158,4,FALSE)</f>
        <v>#N/A</v>
      </c>
      <c r="H161" s="24" t="e">
        <f>IF(I161="NA","NA",$E$3+I161)</f>
        <v>#N/A</v>
      </c>
      <c r="I161" s="23" t="e">
        <f>IF(G161="NA","NA",G161*$E$5)</f>
        <v>#N/A</v>
      </c>
    </row>
    <row r="162" spans="1:9" ht="15.75" hidden="1">
      <c r="A162" s="30" t="str">
        <f>'[1]Sovereign Ratings (Moody''s,S&amp;P)'!A156</f>
        <v>Venezuela</v>
      </c>
      <c r="B162" s="29" t="str">
        <f>VLOOKUP(A162,'[1]Regional lookup table'!$A$2:$B$162,2,FALSE)</f>
        <v>Central and South America</v>
      </c>
      <c r="C162" s="28" t="str">
        <f>VLOOKUP(A162,'[1]Sovereign Ratings (Moody''s,S&amp;P)'!$A$2:$D$158,4,FALSE)</f>
        <v>C</v>
      </c>
      <c r="D162" s="27">
        <f>VLOOKUP(C162,$J$9:$K$31,2,FALSE)/10000</f>
        <v>0.17499999999999999</v>
      </c>
      <c r="E162" s="27">
        <f>$E$3+F162</f>
        <v>0.30539875264603467</v>
      </c>
      <c r="F162" s="26">
        <f>IF($E$4="Yes",D162*$E$5,D162)</f>
        <v>0.26329875264603469</v>
      </c>
      <c r="G162" s="25" t="str">
        <f>VLOOKUP(A162,'[1]10-year CDS Spreads'!$A$2:$D$158,4,FALSE)</f>
        <v>NA</v>
      </c>
      <c r="H162" s="24" t="str">
        <f>IF(I162="NA","NA",$E$3+I162)</f>
        <v>NA</v>
      </c>
      <c r="I162" s="23" t="str">
        <f>IF(G162="NA","NA",G162*$E$5)</f>
        <v>NA</v>
      </c>
    </row>
    <row r="163" spans="1:9" ht="15.75" hidden="1">
      <c r="A163" s="30" t="str">
        <f>'[1]Sovereign Ratings (Moody''s,S&amp;P)'!A157</f>
        <v>Vietnam</v>
      </c>
      <c r="B163" s="29" t="str">
        <f>VLOOKUP(A163,'[1]Regional lookup table'!$A$2:$B$162,2,FALSE)</f>
        <v>Asia</v>
      </c>
      <c r="C163" s="28" t="str">
        <f>VLOOKUP(A163,'[1]Sovereign Ratings (Moody''s,S&amp;P)'!$A$2:$D$158,4,FALSE)</f>
        <v>Ba2</v>
      </c>
      <c r="D163" s="27">
        <f>VLOOKUP(C163,$J$9:$K$31,2,FALSE)/10000</f>
        <v>2.9583549245296346E-2</v>
      </c>
      <c r="E163" s="27">
        <f>$E$3+F163</f>
        <v>8.6610352086451819E-2</v>
      </c>
      <c r="F163" s="26">
        <f>IF($E$4="Yes",D163*$E$5,D163)</f>
        <v>4.4510352086451821E-2</v>
      </c>
      <c r="G163" s="25">
        <f>VLOOKUP(A163,'[1]10-year CDS Spreads'!$A$2:$D$158,4,FALSE)</f>
        <v>1.3999999999999999E-2</v>
      </c>
      <c r="H163" s="24">
        <f>IF(I163="NA","NA",$E$3+I163)</f>
        <v>6.3163900211682777E-2</v>
      </c>
      <c r="I163" s="23">
        <f>IF(G163="NA","NA",G163*$E$5)</f>
        <v>2.1063900211682775E-2</v>
      </c>
    </row>
    <row r="164" spans="1:9" ht="15.75" hidden="1">
      <c r="A164" s="30" t="str">
        <f>'[1]Sovereign Ratings (Moody''s,S&amp;P)'!A158</f>
        <v>Zambia</v>
      </c>
      <c r="B164" s="29" t="str">
        <f>VLOOKUP(A164,'[1]Regional lookup table'!$A$2:$B$162,2,FALSE)</f>
        <v>Africa</v>
      </c>
      <c r="C164" s="28" t="str">
        <f>VLOOKUP(A164,'[1]Sovereign Ratings (Moody''s,S&amp;P)'!$A$2:$D$158,4,FALSE)</f>
        <v>Caa2</v>
      </c>
      <c r="D164" s="27">
        <f>VLOOKUP(C164,$J$9:$K$31,2,FALSE)/10000</f>
        <v>8.851952625741015E-2</v>
      </c>
      <c r="E164" s="27">
        <f>$E$3+F164</f>
        <v>0.17528331913368006</v>
      </c>
      <c r="F164" s="26">
        <f>IF($E$4="Yes",D164*$E$5,D164)</f>
        <v>0.13318331913368006</v>
      </c>
      <c r="G164" s="25" t="str">
        <f>VLOOKUP(A164,'[1]10-year CDS Spreads'!$A$2:$D$158,4,FALSE)</f>
        <v>NA</v>
      </c>
      <c r="H164" s="24" t="str">
        <f>IF(I164="NA","NA",$E$3+I164)</f>
        <v>NA</v>
      </c>
      <c r="I164" s="23" t="str">
        <f>IF(G164="NA","NA",G164*$E$5)</f>
        <v>NA</v>
      </c>
    </row>
    <row r="165" spans="1:9" ht="15.75">
      <c r="A165" s="22" t="s">
        <v>33</v>
      </c>
      <c r="B165" s="22"/>
      <c r="C165" s="22"/>
      <c r="D165" s="22"/>
      <c r="E165" s="22"/>
      <c r="F165" s="10"/>
      <c r="G165" s="10"/>
      <c r="H165" s="10"/>
      <c r="I165" s="10"/>
    </row>
    <row r="166" spans="1:9" ht="15.75">
      <c r="A166" s="21" t="s">
        <v>32</v>
      </c>
      <c r="B166" s="21" t="s">
        <v>31</v>
      </c>
      <c r="C166" s="20" t="s">
        <v>30</v>
      </c>
      <c r="D166" s="20" t="s">
        <v>29</v>
      </c>
      <c r="E166" s="20" t="s">
        <v>28</v>
      </c>
      <c r="F166" s="19"/>
      <c r="G166" s="19"/>
      <c r="H166" s="19"/>
      <c r="I166" s="19"/>
    </row>
    <row r="167" spans="1:9" ht="15.75">
      <c r="A167" s="18" t="str">
        <f>'[1]PRS Worksheet'!A162</f>
        <v>Algeria</v>
      </c>
      <c r="B167" s="17">
        <f>'[1]PRS Worksheet'!B162</f>
        <v>68.5</v>
      </c>
      <c r="C167" s="16">
        <f>'[1]PRS Worksheet'!E162</f>
        <v>9.5303780228336937E-2</v>
      </c>
      <c r="D167" s="15">
        <f>'[1]PRS Worksheet'!G162</f>
        <v>5.3203780228336939E-2</v>
      </c>
      <c r="E167" s="15">
        <f>'[1]PRS Worksheet'!D162</f>
        <v>3.5361586207268286E-2</v>
      </c>
      <c r="F167" s="10"/>
      <c r="G167" s="10"/>
      <c r="H167" s="10"/>
    </row>
    <row r="168" spans="1:9" ht="15.75">
      <c r="A168" s="18" t="str">
        <f>'[1]PRS Worksheet'!A163</f>
        <v>Brunei</v>
      </c>
      <c r="B168" s="17">
        <f>'[1]PRS Worksheet'!B163</f>
        <v>82</v>
      </c>
      <c r="C168" s="16">
        <f>'[1]PRS Worksheet'!E163</f>
        <v>5.0967296704722824E-2</v>
      </c>
      <c r="D168" s="15">
        <f>'[1]PRS Worksheet'!G163</f>
        <v>8.8672967047228254E-3</v>
      </c>
      <c r="E168" s="15">
        <f>'[1]PRS Worksheet'!D163</f>
        <v>5.8935977012113819E-3</v>
      </c>
      <c r="F168" s="10"/>
      <c r="G168" s="10"/>
      <c r="H168" s="10"/>
    </row>
    <row r="169" spans="1:9" ht="15.75">
      <c r="A169" s="18" t="str">
        <f>'[1]PRS Worksheet'!A164</f>
        <v>Gambia</v>
      </c>
      <c r="B169" s="17">
        <f>'[1]PRS Worksheet'!B164</f>
        <v>67.75</v>
      </c>
      <c r="C169" s="16">
        <f>'[1]PRS Worksheet'!E164</f>
        <v>0.10869165956684003</v>
      </c>
      <c r="D169" s="15">
        <f>'[1]PRS Worksheet'!G164</f>
        <v>6.6591659566840031E-2</v>
      </c>
      <c r="E169" s="15">
        <f>'[1]PRS Worksheet'!D164</f>
        <v>4.4259763128705082E-2</v>
      </c>
      <c r="F169" s="10"/>
      <c r="G169" s="10"/>
      <c r="H169" s="10"/>
    </row>
    <row r="170" spans="1:9" ht="15.75">
      <c r="A170" s="18" t="str">
        <f>'[1]PRS Worksheet'!A165</f>
        <v>Guinea</v>
      </c>
      <c r="B170" s="17">
        <f>'[1]PRS Worksheet'!B165</f>
        <v>57.75</v>
      </c>
      <c r="C170" s="16">
        <f>'[1]PRS Worksheet'!E165</f>
        <v>0.17528331913368006</v>
      </c>
      <c r="D170" s="15">
        <f>'[1]PRS Worksheet'!G165</f>
        <v>0.13318331913368006</v>
      </c>
      <c r="E170" s="15">
        <f>'[1]PRS Worksheet'!D165</f>
        <v>8.8519526257410164E-2</v>
      </c>
      <c r="F170" s="10"/>
      <c r="G170" s="10"/>
      <c r="H170" s="10"/>
    </row>
    <row r="171" spans="1:9" ht="15.75">
      <c r="A171" s="18" t="str">
        <f>'[1]PRS Worksheet'!A166</f>
        <v>Guinea-Bissau</v>
      </c>
      <c r="B171" s="17">
        <f>'[1]PRS Worksheet'!B166</f>
        <v>61.25</v>
      </c>
      <c r="C171" s="16">
        <f>'[1]PRS Worksheet'!E166</f>
        <v>0.15302814309045415</v>
      </c>
      <c r="D171" s="15">
        <f>'[1]PRS Worksheet'!G166</f>
        <v>0.11092814309045415</v>
      </c>
      <c r="E171" s="15">
        <f>'[1]PRS Worksheet'!D166</f>
        <v>7.3727751634761987E-2</v>
      </c>
      <c r="F171" s="10"/>
      <c r="G171" s="10"/>
      <c r="H171" s="10"/>
    </row>
    <row r="172" spans="1:9" ht="15.75">
      <c r="A172" s="18" t="str">
        <f>'[1]PRS Worksheet'!A167</f>
        <v>Guyana</v>
      </c>
      <c r="B172" s="17">
        <f>'[1]PRS Worksheet'!B167</f>
        <v>76.5</v>
      </c>
      <c r="C172" s="16">
        <f>'[1]PRS Worksheet'!E167</f>
        <v>5.4618536524314573E-2</v>
      </c>
      <c r="D172" s="15">
        <f>'[1]PRS Worksheet'!G167</f>
        <v>1.2518536524314575E-2</v>
      </c>
      <c r="E172" s="15">
        <f>'[1]PRS Worksheet'!D167</f>
        <v>8.3203732252395968E-3</v>
      </c>
      <c r="F172" s="10"/>
      <c r="G172" s="10"/>
      <c r="H172" s="10"/>
    </row>
    <row r="173" spans="1:9" ht="15.75">
      <c r="A173" s="18" t="str">
        <f>'[1]PRS Worksheet'!A168</f>
        <v>Haiti</v>
      </c>
      <c r="B173" s="17">
        <f>'[1]PRS Worksheet'!B168</f>
        <v>56.5</v>
      </c>
      <c r="C173" s="16">
        <f>'[1]PRS Worksheet'!E168</f>
        <v>0.1900621469748848</v>
      </c>
      <c r="D173" s="15">
        <f>'[1]PRS Worksheet'!G168</f>
        <v>0.1479621469748848</v>
      </c>
      <c r="E173" s="15">
        <f>'[1]PRS Worksheet'!D168</f>
        <v>9.8342189092762475E-2</v>
      </c>
      <c r="F173" s="10"/>
      <c r="G173" s="10"/>
      <c r="H173" s="10"/>
    </row>
    <row r="174" spans="1:9" ht="15.75">
      <c r="A174" s="18" t="str">
        <f>'[1]PRS Worksheet'!A169</f>
        <v>Iran</v>
      </c>
      <c r="B174" s="17">
        <f>'[1]PRS Worksheet'!B169</f>
        <v>63.5</v>
      </c>
      <c r="C174" s="16">
        <f>'[1]PRS Worksheet'!E169</f>
        <v>0.13824931524924944</v>
      </c>
      <c r="D174" s="15">
        <f>'[1]PRS Worksheet'!G169</f>
        <v>9.614931524924944E-2</v>
      </c>
      <c r="E174" s="15">
        <f>'[1]PRS Worksheet'!D169</f>
        <v>6.3905088799409676E-2</v>
      </c>
      <c r="F174" s="10"/>
      <c r="G174" s="10"/>
      <c r="H174" s="10"/>
    </row>
    <row r="175" spans="1:9" ht="15.75">
      <c r="A175" s="18" t="str">
        <f>'[1]PRS Worksheet'!A170</f>
        <v>Korea, D.P.R.</v>
      </c>
      <c r="B175" s="17">
        <f>'[1]PRS Worksheet'!B170</f>
        <v>51</v>
      </c>
      <c r="C175" s="16">
        <f>'[1]PRS Worksheet'!E170</f>
        <v>0.21961980265729422</v>
      </c>
      <c r="D175" s="15">
        <f>'[1]PRS Worksheet'!G170</f>
        <v>0.17751980265729422</v>
      </c>
      <c r="E175" s="15">
        <f>'[1]PRS Worksheet'!D170</f>
        <v>0.1179875147634671</v>
      </c>
      <c r="F175" s="10"/>
      <c r="G175" s="10"/>
      <c r="H175" s="10"/>
    </row>
    <row r="176" spans="1:9" ht="15.75">
      <c r="A176" s="18" t="str">
        <f>'[1]PRS Worksheet'!A171</f>
        <v>Liberia</v>
      </c>
      <c r="B176" s="17">
        <f>'[1]PRS Worksheet'!B171</f>
        <v>58.5</v>
      </c>
      <c r="C176" s="16">
        <f>'[1]PRS Worksheet'!E171</f>
        <v>0.17528331913368006</v>
      </c>
      <c r="D176" s="15">
        <f>'[1]PRS Worksheet'!G171</f>
        <v>0.13318331913368006</v>
      </c>
      <c r="E176" s="15">
        <f>'[1]PRS Worksheet'!D171</f>
        <v>8.8519526257410164E-2</v>
      </c>
      <c r="F176" s="10"/>
      <c r="G176" s="10"/>
      <c r="H176" s="10"/>
    </row>
    <row r="177" spans="1:8" ht="15.75">
      <c r="A177" s="18" t="str">
        <f>'[1]PRS Worksheet'!A172</f>
        <v>Libya</v>
      </c>
      <c r="B177" s="17">
        <f>'[1]PRS Worksheet'!B172</f>
        <v>70.25</v>
      </c>
      <c r="C177" s="16">
        <f>'[1]PRS Worksheet'!E172</f>
        <v>8.6610352086451819E-2</v>
      </c>
      <c r="D177" s="15">
        <f>'[1]PRS Worksheet'!G172</f>
        <v>4.4510352086451821E-2</v>
      </c>
      <c r="E177" s="15">
        <f>'[1]PRS Worksheet'!D172</f>
        <v>2.9583549245296343E-2</v>
      </c>
      <c r="F177" s="10"/>
      <c r="G177" s="10"/>
      <c r="H177" s="10"/>
    </row>
    <row r="178" spans="1:8" ht="15.75">
      <c r="A178" s="18" t="str">
        <f>'[1]PRS Worksheet'!A173</f>
        <v>Madagascar</v>
      </c>
      <c r="B178" s="17">
        <f>'[1]PRS Worksheet'!B173</f>
        <v>65</v>
      </c>
      <c r="C178" s="16">
        <f>'[1]PRS Worksheet'!E173</f>
        <v>0.12347048740804473</v>
      </c>
      <c r="D178" s="15">
        <f>'[1]PRS Worksheet'!G173</f>
        <v>8.1370487408044728E-2</v>
      </c>
      <c r="E178" s="15">
        <f>'[1]PRS Worksheet'!D173</f>
        <v>5.4082425964057372E-2</v>
      </c>
      <c r="F178" s="10"/>
      <c r="G178" s="10"/>
      <c r="H178" s="10"/>
    </row>
    <row r="179" spans="1:8" ht="15.75">
      <c r="A179" s="18" t="str">
        <f>'[1]PRS Worksheet'!A174</f>
        <v>Malawi</v>
      </c>
      <c r="B179" s="17">
        <f>'[1]PRS Worksheet'!B174</f>
        <v>54.75</v>
      </c>
      <c r="C179" s="16">
        <f>'[1]PRS Worksheet'!E174</f>
        <v>0.21961980265729422</v>
      </c>
      <c r="D179" s="15">
        <f>'[1]PRS Worksheet'!G174</f>
        <v>0.17751980265729422</v>
      </c>
      <c r="E179" s="15">
        <f>'[1]PRS Worksheet'!D174</f>
        <v>0.1179875147634671</v>
      </c>
      <c r="F179" s="10"/>
      <c r="G179" s="10"/>
      <c r="H179" s="10"/>
    </row>
    <row r="180" spans="1:8" ht="15.75">
      <c r="A180" s="18" t="str">
        <f>'[1]PRS Worksheet'!A175</f>
        <v>Myanmar</v>
      </c>
      <c r="B180" s="17">
        <f>'[1]PRS Worksheet'!B175</f>
        <v>56</v>
      </c>
      <c r="C180" s="16">
        <f>'[1]PRS Worksheet'!E175</f>
        <v>0.1900621469748848</v>
      </c>
      <c r="D180" s="15">
        <f>'[1]PRS Worksheet'!G175</f>
        <v>0.1479621469748848</v>
      </c>
      <c r="E180" s="15">
        <f>'[1]PRS Worksheet'!D175</f>
        <v>9.8342189092762475E-2</v>
      </c>
      <c r="F180" s="10"/>
      <c r="G180" s="10"/>
      <c r="H180" s="10"/>
    </row>
    <row r="181" spans="1:8" ht="15.75">
      <c r="A181" s="18" t="str">
        <f>'[1]PRS Worksheet'!A176</f>
        <v>Russia</v>
      </c>
      <c r="B181" s="17">
        <f>'[1]PRS Worksheet'!B176</f>
        <v>70.75</v>
      </c>
      <c r="C181" s="16">
        <f>'[1]PRS Worksheet'!E176</f>
        <v>8.6610352086451819E-2</v>
      </c>
      <c r="D181" s="15">
        <f>'[1]PRS Worksheet'!G176</f>
        <v>4.4510352086451821E-2</v>
      </c>
      <c r="E181" s="15">
        <f>'[1]PRS Worksheet'!D176</f>
        <v>2.9583549245296343E-2</v>
      </c>
      <c r="F181" s="10"/>
      <c r="G181" s="10"/>
      <c r="H181" s="10"/>
    </row>
    <row r="182" spans="1:8" ht="15.75">
      <c r="A182" s="18" t="str">
        <f>'[1]PRS Worksheet'!A177</f>
        <v>Sierra Leone</v>
      </c>
      <c r="B182" s="17">
        <f>'[1]PRS Worksheet'!B177</f>
        <v>59.25</v>
      </c>
      <c r="C182" s="16">
        <f>'[1]PRS Worksheet'!E177</f>
        <v>0.17528331913368006</v>
      </c>
      <c r="D182" s="15">
        <f>'[1]PRS Worksheet'!G177</f>
        <v>0.13318331913368006</v>
      </c>
      <c r="E182" s="15">
        <f>'[1]PRS Worksheet'!D177</f>
        <v>8.8519526257410164E-2</v>
      </c>
      <c r="F182" s="10"/>
      <c r="G182" s="10"/>
      <c r="H182" s="10"/>
    </row>
    <row r="183" spans="1:8" ht="15.75">
      <c r="A183" s="18" t="str">
        <f>'[1]PRS Worksheet'!A178</f>
        <v>Somalia</v>
      </c>
      <c r="B183" s="17">
        <f>'[1]PRS Worksheet'!B178</f>
        <v>55.5</v>
      </c>
      <c r="C183" s="16">
        <f>'[1]PRS Worksheet'!E178</f>
        <v>0.1900621469748848</v>
      </c>
      <c r="D183" s="15">
        <f>'[1]PRS Worksheet'!G178</f>
        <v>0.1479621469748848</v>
      </c>
      <c r="E183" s="15">
        <f>'[1]PRS Worksheet'!D178</f>
        <v>9.8342189092762475E-2</v>
      </c>
      <c r="F183" s="10"/>
      <c r="G183" s="10"/>
      <c r="H183" s="10"/>
    </row>
    <row r="184" spans="1:8" ht="15.75">
      <c r="A184" s="18" t="str">
        <f>'[1]PRS Worksheet'!A179</f>
        <v>Sudan</v>
      </c>
      <c r="B184" s="17">
        <f>'[1]PRS Worksheet'!B179</f>
        <v>43.75</v>
      </c>
      <c r="C184" s="16">
        <f>'[1]PRS Worksheet'!E179</f>
        <v>0.30539875264603467</v>
      </c>
      <c r="D184" s="15">
        <f>'[1]PRS Worksheet'!G179</f>
        <v>0.26329875264603464</v>
      </c>
      <c r="E184" s="15">
        <f>'[1]PRS Worksheet'!D179</f>
        <v>0.17499999999999996</v>
      </c>
      <c r="F184" s="10"/>
      <c r="G184" s="10"/>
      <c r="H184" s="10"/>
    </row>
    <row r="185" spans="1:8" ht="15.75">
      <c r="A185" s="18" t="str">
        <f>'[1]PRS Worksheet'!A180</f>
        <v>Syria</v>
      </c>
      <c r="B185" s="17">
        <f>'[1]PRS Worksheet'!B180</f>
        <v>45.5</v>
      </c>
      <c r="C185" s="16">
        <f>'[1]PRS Worksheet'!E180</f>
        <v>0.30539875264603467</v>
      </c>
      <c r="D185" s="15">
        <f>'[1]PRS Worksheet'!G180</f>
        <v>0.26329875264603464</v>
      </c>
      <c r="E185" s="15">
        <f>'[1]PRS Worksheet'!D180</f>
        <v>0.17499999999999996</v>
      </c>
      <c r="F185" s="10"/>
      <c r="G185" s="10"/>
      <c r="H185" s="10"/>
    </row>
    <row r="186" spans="1:8" ht="15.75">
      <c r="A186" s="18" t="str">
        <f>'[1]PRS Worksheet'!A181</f>
        <v>Yemen, Republic</v>
      </c>
      <c r="B186" s="17">
        <f>'[1]PRS Worksheet'!B181</f>
        <v>45</v>
      </c>
      <c r="C186" s="16">
        <f>'[1]PRS Worksheet'!E181</f>
        <v>0.30539875264603467</v>
      </c>
      <c r="D186" s="15">
        <f>'[1]PRS Worksheet'!G181</f>
        <v>0.26329875264603464</v>
      </c>
      <c r="E186" s="15">
        <f>'[1]PRS Worksheet'!D181</f>
        <v>0.17499999999999996</v>
      </c>
      <c r="F186" s="10"/>
      <c r="G186" s="10"/>
      <c r="H186" s="10"/>
    </row>
    <row r="187" spans="1:8" ht="15.75">
      <c r="A187" s="18" t="str">
        <f>'[1]PRS Worksheet'!A182</f>
        <v>Zimbabwe</v>
      </c>
      <c r="B187" s="17">
        <f>'[1]PRS Worksheet'!B182</f>
        <v>63.5</v>
      </c>
      <c r="C187" s="16">
        <f>'[1]PRS Worksheet'!E182</f>
        <v>0.13824931524924944</v>
      </c>
      <c r="D187" s="15">
        <f>'[1]PRS Worksheet'!G182</f>
        <v>9.614931524924944E-2</v>
      </c>
      <c r="E187" s="15">
        <f>'[1]PRS Worksheet'!D182</f>
        <v>6.3905088799409676E-2</v>
      </c>
      <c r="F187" s="10"/>
      <c r="G187" s="10"/>
      <c r="H187" s="10"/>
    </row>
    <row r="188" spans="1:8" ht="15.75">
      <c r="A188" s="14"/>
      <c r="B188" s="13"/>
      <c r="C188" s="12"/>
      <c r="D188" s="11"/>
      <c r="E188" s="10"/>
    </row>
    <row r="189" spans="1:8">
      <c r="B189" s="9" t="s">
        <v>27</v>
      </c>
      <c r="C189" s="9" t="s">
        <v>26</v>
      </c>
    </row>
    <row r="190" spans="1:8">
      <c r="B190" s="7" t="s">
        <v>25</v>
      </c>
      <c r="C190" s="8">
        <f>'[1]Default Spreads for Ratings'!C2</f>
        <v>69.336443543663336</v>
      </c>
    </row>
    <row r="191" spans="1:8">
      <c r="B191" s="7" t="s">
        <v>24</v>
      </c>
      <c r="C191" s="8">
        <f>'[1]Default Spreads for Ratings'!C3</f>
        <v>83.20373225239598</v>
      </c>
    </row>
    <row r="192" spans="1:8">
      <c r="B192" s="7" t="s">
        <v>23</v>
      </c>
      <c r="C192" s="8">
        <f>'[1]Default Spreads for Ratings'!C4</f>
        <v>117.87195402422765</v>
      </c>
    </row>
    <row r="193" spans="2:3">
      <c r="B193" s="7" t="s">
        <v>22</v>
      </c>
      <c r="C193" s="8">
        <f>'[1]Default Spreads for Ratings'!C5</f>
        <v>27</v>
      </c>
    </row>
    <row r="194" spans="2:3">
      <c r="B194" s="7" t="s">
        <v>21</v>
      </c>
      <c r="C194" s="8">
        <f>'[1]Default Spreads for Ratings'!C6</f>
        <v>48.535510480564319</v>
      </c>
    </row>
    <row r="195" spans="2:3">
      <c r="B195" s="7" t="s">
        <v>20</v>
      </c>
      <c r="C195" s="8">
        <f>'[1]Default Spreads for Ratings'!C7</f>
        <v>58.935977012113824</v>
      </c>
    </row>
    <row r="196" spans="2:3">
      <c r="B196" s="7" t="s">
        <v>19</v>
      </c>
      <c r="C196" s="8">
        <f>'[1]Default Spreads for Ratings'!C8</f>
        <v>0</v>
      </c>
    </row>
    <row r="197" spans="2:3">
      <c r="B197" s="7" t="s">
        <v>18</v>
      </c>
      <c r="C197" s="8">
        <f>'[1]Default Spreads for Ratings'!C9</f>
        <v>442.59763128705077</v>
      </c>
    </row>
    <row r="198" spans="2:3">
      <c r="B198" s="7" t="s">
        <v>17</v>
      </c>
      <c r="C198" s="8">
        <f>'[1]Default Spreads for Ratings'!C10</f>
        <v>540.82425964057381</v>
      </c>
    </row>
    <row r="199" spans="2:3">
      <c r="B199" s="7" t="s">
        <v>16</v>
      </c>
      <c r="C199" s="8">
        <f>'[1]Default Spreads for Ratings'!C11</f>
        <v>639.0508879940968</v>
      </c>
    </row>
    <row r="200" spans="2:3">
      <c r="B200" s="7" t="s">
        <v>15</v>
      </c>
      <c r="C200" s="8">
        <f>'[1]Default Spreads for Ratings'!C12</f>
        <v>246.14437458000481</v>
      </c>
    </row>
    <row r="201" spans="2:3">
      <c r="B201" s="7" t="s">
        <v>14</v>
      </c>
      <c r="C201" s="8">
        <f>'[1]Default Spreads for Ratings'!C13</f>
        <v>295.83549245296348</v>
      </c>
    </row>
    <row r="202" spans="2:3">
      <c r="B202" s="7" t="s">
        <v>13</v>
      </c>
      <c r="C202" s="8">
        <f>'[1]Default Spreads for Ratings'!C14</f>
        <v>353.61586207268289</v>
      </c>
    </row>
    <row r="203" spans="2:3">
      <c r="B203" s="7" t="s">
        <v>12</v>
      </c>
      <c r="C203" s="8">
        <f>'[1]Default Spreads for Ratings'!C15</f>
        <v>157.16260536563684</v>
      </c>
    </row>
    <row r="204" spans="2:3">
      <c r="B204" s="7" t="s">
        <v>11</v>
      </c>
      <c r="C204" s="8">
        <f>'[1]Default Spreads for Ratings'!C16</f>
        <v>187.20839756789098</v>
      </c>
    </row>
    <row r="205" spans="2:3">
      <c r="B205" s="7" t="s">
        <v>10</v>
      </c>
      <c r="C205" s="8">
        <f>'[1]Default Spreads for Ratings'!C17</f>
        <v>216.09858237775069</v>
      </c>
    </row>
    <row r="206" spans="2:3">
      <c r="B206" s="7" t="s">
        <v>9</v>
      </c>
      <c r="C206" s="8">
        <v>1750</v>
      </c>
    </row>
    <row r="207" spans="2:3">
      <c r="B207" s="7" t="s">
        <v>8</v>
      </c>
      <c r="C207" s="8">
        <f>'[1]Default Spreads for Ratings'!C18</f>
        <v>1179.8751476346708</v>
      </c>
    </row>
    <row r="208" spans="2:3">
      <c r="B208" s="7" t="s">
        <v>7</v>
      </c>
      <c r="C208" s="8">
        <f>'[1]Default Spreads for Ratings'!C19</f>
        <v>737.27751634761989</v>
      </c>
    </row>
    <row r="209" spans="2:3">
      <c r="B209" s="7" t="s">
        <v>6</v>
      </c>
      <c r="C209" s="8">
        <f>'[1]Default Spreads for Ratings'!C20</f>
        <v>885.19526257410155</v>
      </c>
    </row>
    <row r="210" spans="2:3">
      <c r="B210" s="7" t="s">
        <v>5</v>
      </c>
      <c r="C210" s="8">
        <f>'[1]Default Spreads for Ratings'!C21</f>
        <v>983.42189092762476</v>
      </c>
    </row>
    <row r="211" spans="2:3">
      <c r="B211" s="7" t="s">
        <v>4</v>
      </c>
      <c r="C211" s="7" t="s">
        <v>3</v>
      </c>
    </row>
  </sheetData>
  <mergeCells count="1">
    <mergeCell ref="A165:E165"/>
  </mergeCells>
  <pageMargins left="0.75" right="0.75" top="1" bottom="1" header="0.5" footer="0.5"/>
  <pageSetup orientation="landscape" horizontalDpi="4294967292" verticalDpi="4294967292"/>
  <headerFooter alignWithMargins="0"/>
  <customProperties>
    <customPr name="OrphanNamesChecked" r:id="rId1"/>
  </customProperties>
  <legacy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8C03E-4F52-4F20-9FA0-41C0B1E396FE}">
  <dimension ref="A1:B6"/>
  <sheetViews>
    <sheetView zoomScale="87" workbookViewId="0">
      <selection activeCell="B6" sqref="B6"/>
    </sheetView>
  </sheetViews>
  <sheetFormatPr defaultRowHeight="15"/>
  <cols>
    <col min="1" max="1" width="18" style="1" bestFit="1" customWidth="1"/>
    <col min="2" max="2" width="21.5703125" style="1" bestFit="1" customWidth="1"/>
    <col min="3" max="16384" width="9.140625" style="1"/>
  </cols>
  <sheetData>
    <row r="1" spans="1:2">
      <c r="A1" s="1" t="s">
        <v>55</v>
      </c>
      <c r="B1" s="53">
        <v>6.9800000000000001E-2</v>
      </c>
    </row>
    <row r="2" spans="1:2">
      <c r="A2" s="1" t="s">
        <v>54</v>
      </c>
      <c r="B2" s="53">
        <f>B1-B4</f>
        <v>4.82E-2</v>
      </c>
    </row>
    <row r="3" spans="1:2">
      <c r="A3" s="1" t="s">
        <v>53</v>
      </c>
      <c r="B3" s="54">
        <f>'Beta calculation'!F2</f>
        <v>0.88044934984724577</v>
      </c>
    </row>
    <row r="4" spans="1:2">
      <c r="A4" s="1" t="s">
        <v>52</v>
      </c>
      <c r="B4" s="53">
        <v>2.1600000000000001E-2</v>
      </c>
    </row>
    <row r="5" spans="1:2">
      <c r="A5" s="1" t="s">
        <v>30</v>
      </c>
      <c r="B5" s="53">
        <v>7.9699999999999993E-2</v>
      </c>
    </row>
    <row r="6" spans="1:2">
      <c r="A6" s="1" t="s">
        <v>51</v>
      </c>
      <c r="B6" s="52">
        <f>B2+B3*B5</f>
        <v>0.11837181318282547</v>
      </c>
    </row>
  </sheetData>
  <pageMargins left="0.7" right="0.7" top="0.75" bottom="0.75" header="0.3" footer="0.3"/>
  <customProperties>
    <customPr name="OrphanNamesChecked" r:id="rId1"/>
  </customPropertie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Beta calculation</vt:lpstr>
      <vt:lpstr>ERPs by country</vt:lpstr>
      <vt:lpstr>Cost of 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Serban, Valentin-Daniel</dc:creator>
  <cp:lastModifiedBy>Serban, Valentin-Daniel</cp:lastModifiedBy>
  <dcterms:created xsi:type="dcterms:W3CDTF">2015-06-05T18:17:20Z</dcterms:created>
  <dcterms:modified xsi:type="dcterms:W3CDTF">2025-11-03T09:54:34Z</dcterms:modified>
</cp:coreProperties>
</file>